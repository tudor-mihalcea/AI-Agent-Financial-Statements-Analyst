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domi/Desktop/"/>
    </mc:Choice>
  </mc:AlternateContent>
  <xr:revisionPtr revIDLastSave="0" documentId="8_{D050ECF4-8EB2-7E4E-9FC4-80FEE99AF5FF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Reformulated IS" sheetId="1" r:id="rId1"/>
    <sheet name="Managerial BS" sheetId="2" r:id="rId2"/>
    <sheet name="ROE" sheetId="3" r:id="rId3"/>
    <sheet name="RO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4" l="1"/>
  <c r="E12" i="4"/>
  <c r="F9" i="4"/>
  <c r="E9" i="4"/>
  <c r="D108" i="3"/>
  <c r="C108" i="3"/>
  <c r="B108" i="3"/>
  <c r="D95" i="3"/>
  <c r="C95" i="3"/>
  <c r="B95" i="3"/>
  <c r="D83" i="3"/>
  <c r="C83" i="3"/>
  <c r="B83" i="3"/>
  <c r="D81" i="3"/>
  <c r="C81" i="3"/>
  <c r="B81" i="3"/>
  <c r="D60" i="3"/>
  <c r="C60" i="3"/>
  <c r="B60" i="3"/>
  <c r="D55" i="3"/>
  <c r="C55" i="3"/>
  <c r="B55" i="3"/>
  <c r="D43" i="3"/>
  <c r="C43" i="3"/>
  <c r="B43" i="3"/>
  <c r="D42" i="3"/>
  <c r="C42" i="3"/>
  <c r="B42" i="3"/>
  <c r="D20" i="3"/>
  <c r="C20" i="3"/>
  <c r="B20" i="3"/>
  <c r="D19" i="3"/>
  <c r="D28" i="3" s="1"/>
  <c r="C19" i="3"/>
  <c r="C28" i="3" s="1"/>
  <c r="B19" i="3"/>
  <c r="B28" i="3" s="1"/>
  <c r="D17" i="3"/>
  <c r="C17" i="3"/>
  <c r="B17" i="3"/>
  <c r="D16" i="3"/>
  <c r="D25" i="3" s="1"/>
  <c r="C16" i="3"/>
  <c r="C25" i="3" s="1"/>
  <c r="B16" i="3"/>
  <c r="B25" i="3" s="1"/>
  <c r="D15" i="3"/>
  <c r="D21" i="3" s="1"/>
  <c r="C15" i="3"/>
  <c r="C21" i="3" s="1"/>
  <c r="B15" i="3"/>
  <c r="B21" i="3" s="1"/>
  <c r="D14" i="3"/>
  <c r="C14" i="3"/>
  <c r="B14" i="3"/>
  <c r="D7" i="3"/>
  <c r="C7" i="3"/>
  <c r="B7" i="3"/>
  <c r="D59" i="2"/>
  <c r="D63" i="2" s="1"/>
  <c r="D52" i="3" s="1"/>
  <c r="C59" i="2"/>
  <c r="C63" i="2" s="1"/>
  <c r="C52" i="3" s="1"/>
  <c r="B59" i="2"/>
  <c r="B63" i="2" s="1"/>
  <c r="B52" i="3" s="1"/>
  <c r="D55" i="2"/>
  <c r="C55" i="2"/>
  <c r="B55" i="2"/>
  <c r="D44" i="2"/>
  <c r="D46" i="2" s="1"/>
  <c r="C44" i="2"/>
  <c r="C46" i="2" s="1"/>
  <c r="B44" i="2"/>
  <c r="B46" i="2" s="1"/>
  <c r="D38" i="2"/>
  <c r="C38" i="2"/>
  <c r="B38" i="2"/>
  <c r="D24" i="2"/>
  <c r="D29" i="2" s="1"/>
  <c r="C24" i="2"/>
  <c r="C29" i="2" s="1"/>
  <c r="B24" i="2"/>
  <c r="B29" i="2" s="1"/>
  <c r="D16" i="2"/>
  <c r="C16" i="2"/>
  <c r="B16" i="2"/>
  <c r="D58" i="1"/>
  <c r="C58" i="1"/>
  <c r="B58" i="1"/>
  <c r="D36" i="1"/>
  <c r="C36" i="1"/>
  <c r="B36" i="1"/>
  <c r="D35" i="1"/>
  <c r="C35" i="1"/>
  <c r="B35" i="1"/>
  <c r="D31" i="1"/>
  <c r="C31" i="1"/>
  <c r="B31" i="1"/>
  <c r="D30" i="1"/>
  <c r="C30" i="1"/>
  <c r="B30" i="1"/>
  <c r="D29" i="1"/>
  <c r="C29" i="1"/>
  <c r="B29" i="1"/>
  <c r="D27" i="1"/>
  <c r="C27" i="1"/>
  <c r="B27" i="1"/>
  <c r="D24" i="1"/>
  <c r="C24" i="1"/>
  <c r="B24" i="1"/>
  <c r="D23" i="1"/>
  <c r="C23" i="1"/>
  <c r="B23" i="1"/>
  <c r="D20" i="1"/>
  <c r="C20" i="1"/>
  <c r="B20" i="1"/>
  <c r="D19" i="1"/>
  <c r="D21" i="1" s="1"/>
  <c r="C19" i="1"/>
  <c r="C21" i="1" s="1"/>
  <c r="B19" i="1"/>
  <c r="B21" i="1" s="1"/>
  <c r="D17" i="1"/>
  <c r="C17" i="1"/>
  <c r="B17" i="1"/>
  <c r="D16" i="1"/>
  <c r="C16" i="1"/>
  <c r="B16" i="1"/>
  <c r="D14" i="1"/>
  <c r="C14" i="1"/>
  <c r="B14" i="1"/>
  <c r="D12" i="1"/>
  <c r="C12" i="1"/>
  <c r="B12" i="1"/>
  <c r="D11" i="1"/>
  <c r="C11" i="1"/>
  <c r="B11" i="1"/>
  <c r="D10" i="1"/>
  <c r="C10" i="1"/>
  <c r="B10" i="1"/>
  <c r="D8" i="1"/>
  <c r="C8" i="1"/>
  <c r="B8" i="1"/>
  <c r="D7" i="1"/>
  <c r="C7" i="1"/>
  <c r="B7" i="1"/>
  <c r="D96" i="3" l="1"/>
  <c r="D97" i="3"/>
  <c r="D98" i="3"/>
  <c r="D99" i="3"/>
  <c r="D100" i="3"/>
  <c r="C96" i="3"/>
  <c r="C97" i="3"/>
  <c r="C98" i="3"/>
  <c r="C99" i="3"/>
  <c r="C100" i="3"/>
  <c r="B96" i="3"/>
  <c r="B97" i="3"/>
  <c r="B98" i="3"/>
  <c r="B99" i="3"/>
  <c r="B100" i="3"/>
  <c r="C36" i="3"/>
  <c r="C26" i="3"/>
  <c r="B36" i="3"/>
  <c r="B26" i="3"/>
  <c r="D23" i="3"/>
  <c r="D30" i="3"/>
  <c r="D22" i="3"/>
  <c r="C30" i="3"/>
  <c r="C23" i="3"/>
  <c r="C22" i="3"/>
  <c r="C24" i="3" s="1"/>
  <c r="B30" i="3"/>
  <c r="B23" i="3"/>
  <c r="B29" i="3" s="1"/>
  <c r="B31" i="3" s="1"/>
  <c r="B22" i="3"/>
  <c r="B24" i="3" s="1"/>
  <c r="D54" i="3"/>
  <c r="D57" i="3" s="1"/>
  <c r="D66" i="2"/>
  <c r="C66" i="2"/>
  <c r="C54" i="3"/>
  <c r="C57" i="3" s="1"/>
  <c r="B66" i="2"/>
  <c r="B54" i="3"/>
  <c r="B57" i="3" s="1"/>
  <c r="D56" i="3"/>
  <c r="D22" i="4"/>
  <c r="D42" i="4"/>
  <c r="C22" i="4"/>
  <c r="C42" i="4"/>
  <c r="C56" i="3"/>
  <c r="B22" i="4"/>
  <c r="B42" i="4"/>
  <c r="B56" i="3"/>
  <c r="D60" i="4"/>
  <c r="D41" i="3"/>
  <c r="D94" i="3"/>
  <c r="C60" i="4"/>
  <c r="C41" i="3"/>
  <c r="C94" i="3"/>
  <c r="B60" i="4"/>
  <c r="B41" i="3"/>
  <c r="B94" i="3"/>
  <c r="D30" i="2"/>
  <c r="D39" i="2"/>
  <c r="C30" i="2"/>
  <c r="C39" i="2"/>
  <c r="C38" i="3" s="1"/>
  <c r="C40" i="3" s="1"/>
  <c r="B30" i="2"/>
  <c r="B39" i="2"/>
  <c r="B38" i="3" s="1"/>
  <c r="B40" i="3" s="1"/>
  <c r="D80" i="3"/>
  <c r="D82" i="3" s="1"/>
  <c r="D84" i="3" s="1"/>
  <c r="D32" i="1"/>
  <c r="C80" i="3"/>
  <c r="C82" i="3" s="1"/>
  <c r="C84" i="3" s="1"/>
  <c r="C32" i="1"/>
  <c r="B80" i="3"/>
  <c r="B82" i="3" s="1"/>
  <c r="B84" i="3" s="1"/>
  <c r="B32" i="1"/>
  <c r="D44" i="3"/>
  <c r="D45" i="3" s="1"/>
  <c r="D25" i="1"/>
  <c r="C25" i="1"/>
  <c r="C44" i="3"/>
  <c r="C45" i="3" s="1"/>
  <c r="B44" i="3"/>
  <c r="B45" i="3" s="1"/>
  <c r="B25" i="1"/>
  <c r="D63" i="3"/>
  <c r="D87" i="3" s="1"/>
  <c r="D88" i="3" s="1"/>
  <c r="D89" i="3" s="1"/>
  <c r="D102" i="3" s="1"/>
  <c r="D21" i="4"/>
  <c r="D41" i="4"/>
  <c r="C21" i="4"/>
  <c r="C41" i="4"/>
  <c r="C63" i="3"/>
  <c r="B63" i="3"/>
  <c r="B21" i="4"/>
  <c r="B41" i="4"/>
  <c r="D38" i="3"/>
  <c r="D40" i="3" s="1"/>
  <c r="D39" i="3"/>
  <c r="D18" i="3"/>
  <c r="D9" i="1"/>
  <c r="D13" i="1" s="1"/>
  <c r="D15" i="1" s="1"/>
  <c r="D18" i="1" s="1"/>
  <c r="D56" i="4"/>
  <c r="C39" i="3"/>
  <c r="C18" i="3"/>
  <c r="C27" i="3" s="1"/>
  <c r="C9" i="1"/>
  <c r="C13" i="1" s="1"/>
  <c r="C15" i="1" s="1"/>
  <c r="C18" i="1" s="1"/>
  <c r="C56" i="4"/>
  <c r="B39" i="3"/>
  <c r="B18" i="3"/>
  <c r="B27" i="3" s="1"/>
  <c r="B9" i="1"/>
  <c r="B13" i="1" s="1"/>
  <c r="B15" i="1" s="1"/>
  <c r="B18" i="1" s="1"/>
  <c r="B56" i="4"/>
  <c r="D58" i="3" l="1"/>
  <c r="D68" i="3" s="1"/>
  <c r="D59" i="3"/>
  <c r="D65" i="3"/>
  <c r="D66" i="3"/>
  <c r="D67" i="3"/>
  <c r="C58" i="3"/>
  <c r="C68" i="3" s="1"/>
  <c r="C59" i="3"/>
  <c r="C65" i="3"/>
  <c r="C66" i="3"/>
  <c r="C67" i="3"/>
  <c r="B58" i="3"/>
  <c r="B68" i="3" s="1"/>
  <c r="B59" i="3"/>
  <c r="B65" i="3"/>
  <c r="B66" i="3"/>
  <c r="B67" i="3"/>
  <c r="D23" i="4"/>
  <c r="D43" i="4"/>
  <c r="C23" i="4"/>
  <c r="C43" i="4"/>
  <c r="B23" i="4"/>
  <c r="B43" i="4"/>
  <c r="D40" i="2"/>
  <c r="D47" i="2"/>
  <c r="D27" i="4" s="1"/>
  <c r="D24" i="4" s="1"/>
  <c r="D17" i="4"/>
  <c r="D58" i="4"/>
  <c r="C40" i="2"/>
  <c r="C47" i="2"/>
  <c r="C27" i="4" s="1"/>
  <c r="C24" i="4" s="1"/>
  <c r="C17" i="4"/>
  <c r="C19" i="4" s="1"/>
  <c r="C58" i="4"/>
  <c r="B40" i="2"/>
  <c r="B47" i="2"/>
  <c r="B27" i="4" s="1"/>
  <c r="B24" i="4" s="1"/>
  <c r="B17" i="4"/>
  <c r="B58" i="4"/>
  <c r="C87" i="3"/>
  <c r="C88" i="3" s="1"/>
  <c r="C89" i="3" s="1"/>
  <c r="C102" i="3" s="1"/>
  <c r="B87" i="3"/>
  <c r="B88" i="3" s="1"/>
  <c r="B89" i="3" s="1"/>
  <c r="B102" i="3" s="1"/>
  <c r="D22" i="1"/>
  <c r="D35" i="3"/>
  <c r="D37" i="3" s="1"/>
  <c r="D62" i="3"/>
  <c r="D85" i="3"/>
  <c r="D86" i="3" s="1"/>
  <c r="D16" i="4"/>
  <c r="D36" i="4"/>
  <c r="D57" i="4"/>
  <c r="C22" i="1"/>
  <c r="C62" i="3"/>
  <c r="C85" i="3"/>
  <c r="C86" i="3" s="1"/>
  <c r="C35" i="3"/>
  <c r="C37" i="3" s="1"/>
  <c r="C16" i="4"/>
  <c r="C36" i="4"/>
  <c r="C57" i="4"/>
  <c r="B22" i="1"/>
  <c r="B62" i="3"/>
  <c r="B85" i="3"/>
  <c r="B86" i="3" s="1"/>
  <c r="B35" i="3"/>
  <c r="B37" i="3" s="1"/>
  <c r="B16" i="4"/>
  <c r="B18" i="4" s="1"/>
  <c r="B36" i="4"/>
  <c r="B57" i="4"/>
  <c r="D24" i="3"/>
  <c r="C29" i="3"/>
  <c r="C31" i="3" s="1"/>
  <c r="D27" i="3"/>
  <c r="D26" i="3"/>
  <c r="D29" i="3" s="1"/>
  <c r="D31" i="3" s="1"/>
  <c r="D36" i="3"/>
  <c r="D48" i="2" l="1"/>
  <c r="D37" i="4"/>
  <c r="D59" i="4"/>
  <c r="D70" i="4" s="1"/>
  <c r="D71" i="4" s="1"/>
  <c r="D51" i="3"/>
  <c r="D53" i="3" s="1"/>
  <c r="D62" i="4"/>
  <c r="D67" i="4"/>
  <c r="D68" i="4" s="1"/>
  <c r="D63" i="4"/>
  <c r="C48" i="2"/>
  <c r="C37" i="4"/>
  <c r="C59" i="4"/>
  <c r="C70" i="4" s="1"/>
  <c r="C71" i="4" s="1"/>
  <c r="C51" i="3"/>
  <c r="C53" i="3" s="1"/>
  <c r="C62" i="4"/>
  <c r="C67" i="4"/>
  <c r="C68" i="4" s="1"/>
  <c r="C63" i="4"/>
  <c r="B48" i="2"/>
  <c r="B37" i="4"/>
  <c r="B59" i="4"/>
  <c r="B51" i="3"/>
  <c r="B53" i="3" s="1"/>
  <c r="B62" i="4"/>
  <c r="B67" i="4"/>
  <c r="B68" i="4" s="1"/>
  <c r="B63" i="4"/>
  <c r="D26" i="1"/>
  <c r="D26" i="4"/>
  <c r="D28" i="4" s="1"/>
  <c r="D9" i="4" s="1"/>
  <c r="D46" i="4"/>
  <c r="D101" i="3"/>
  <c r="D103" i="3" s="1"/>
  <c r="D61" i="4"/>
  <c r="D64" i="4" s="1"/>
  <c r="D65" i="4"/>
  <c r="C26" i="1"/>
  <c r="C26" i="4"/>
  <c r="C28" i="4" s="1"/>
  <c r="D8" i="4" s="1"/>
  <c r="C46" i="4"/>
  <c r="C64" i="3"/>
  <c r="C69" i="3" s="1"/>
  <c r="C101" i="3"/>
  <c r="C103" i="3" s="1"/>
  <c r="C61" i="4"/>
  <c r="C64" i="4" s="1"/>
  <c r="C65" i="4"/>
  <c r="B26" i="1"/>
  <c r="B26" i="4"/>
  <c r="B28" i="4" s="1"/>
  <c r="D7" i="4" s="1"/>
  <c r="B46" i="4"/>
  <c r="B64" i="3"/>
  <c r="B69" i="3" s="1"/>
  <c r="B101" i="3"/>
  <c r="B103" i="3" s="1"/>
  <c r="B61" i="4"/>
  <c r="B64" i="4" s="1"/>
  <c r="B19" i="4"/>
  <c r="D18" i="4"/>
  <c r="C18" i="4"/>
  <c r="C20" i="4" s="1"/>
  <c r="C29" i="4" s="1"/>
  <c r="B25" i="4"/>
  <c r="D19" i="4"/>
  <c r="D31" i="4" s="1"/>
  <c r="D32" i="4" s="1"/>
  <c r="D25" i="4"/>
  <c r="C31" i="4"/>
  <c r="C32" i="4" s="1"/>
  <c r="C25" i="4"/>
  <c r="D67" i="2" l="1"/>
  <c r="D47" i="4"/>
  <c r="D38" i="4"/>
  <c r="D39" i="4"/>
  <c r="D64" i="3"/>
  <c r="D69" i="3" s="1"/>
  <c r="D61" i="3"/>
  <c r="D92" i="3"/>
  <c r="D93" i="3" s="1"/>
  <c r="C67" i="2"/>
  <c r="C47" i="4"/>
  <c r="C38" i="4"/>
  <c r="C39" i="4"/>
  <c r="C61" i="3"/>
  <c r="C92" i="3"/>
  <c r="C93" i="3" s="1"/>
  <c r="B67" i="2"/>
  <c r="B47" i="4"/>
  <c r="B38" i="4"/>
  <c r="B39" i="4"/>
  <c r="B61" i="3"/>
  <c r="B92" i="3"/>
  <c r="B93" i="3" s="1"/>
  <c r="D46" i="3"/>
  <c r="D28" i="1"/>
  <c r="D70" i="3"/>
  <c r="D90" i="3"/>
  <c r="D91" i="3" s="1"/>
  <c r="C46" i="3"/>
  <c r="C28" i="1"/>
  <c r="C70" i="3"/>
  <c r="C90" i="3"/>
  <c r="C91" i="3" s="1"/>
  <c r="F8" i="4"/>
  <c r="E8" i="4"/>
  <c r="B46" i="3"/>
  <c r="B28" i="1"/>
  <c r="B70" i="3"/>
  <c r="B90" i="3"/>
  <c r="B91" i="3" s="1"/>
  <c r="F7" i="4"/>
  <c r="E7" i="4"/>
  <c r="B20" i="4"/>
  <c r="B29" i="4" s="1"/>
  <c r="B30" i="4" s="1"/>
  <c r="B31" i="4"/>
  <c r="B32" i="4" s="1"/>
  <c r="C66" i="4"/>
  <c r="D20" i="4"/>
  <c r="D29" i="4" s="1"/>
  <c r="D30" i="4" s="1"/>
  <c r="C30" i="4"/>
  <c r="D69" i="4"/>
  <c r="C69" i="4"/>
  <c r="B69" i="4"/>
  <c r="D66" i="4"/>
  <c r="B70" i="4"/>
  <c r="B71" i="4" s="1"/>
  <c r="B65" i="4"/>
  <c r="B66" i="4" s="1"/>
  <c r="D48" i="4" l="1"/>
  <c r="D12" i="4" s="1"/>
  <c r="D44" i="4"/>
  <c r="C48" i="4"/>
  <c r="D11" i="4" s="1"/>
  <c r="C44" i="4"/>
  <c r="B48" i="4"/>
  <c r="D10" i="4" s="1"/>
  <c r="B44" i="4"/>
  <c r="D33" i="1"/>
  <c r="D34" i="1" s="1"/>
  <c r="C33" i="1"/>
  <c r="C34" i="1" s="1"/>
  <c r="B33" i="1"/>
  <c r="B34" i="1"/>
  <c r="C40" i="4"/>
  <c r="B40" i="4"/>
  <c r="D40" i="4"/>
  <c r="D51" i="4" l="1"/>
  <c r="D52" i="4" s="1"/>
  <c r="D45" i="4"/>
  <c r="D49" i="4" s="1"/>
  <c r="D50" i="4" s="1"/>
  <c r="F11" i="4"/>
  <c r="E11" i="4"/>
  <c r="C51" i="4"/>
  <c r="C52" i="4" s="1"/>
  <c r="C45" i="4"/>
  <c r="C49" i="4" s="1"/>
  <c r="C50" i="4" s="1"/>
  <c r="E10" i="4"/>
  <c r="F10" i="4"/>
  <c r="B51" i="4"/>
  <c r="B52" i="4" s="1"/>
  <c r="B45" i="4"/>
  <c r="B49" i="4" s="1"/>
  <c r="B50" i="4" s="1"/>
  <c r="D8" i="3"/>
  <c r="D10" i="3" s="1"/>
  <c r="D9" i="3"/>
  <c r="D71" i="3"/>
  <c r="C71" i="3"/>
  <c r="C8" i="3"/>
  <c r="C9" i="3"/>
  <c r="B8" i="3"/>
  <c r="B9" i="3"/>
  <c r="B71" i="3"/>
  <c r="D72" i="3" l="1"/>
  <c r="D74" i="3"/>
  <c r="D104" i="3"/>
  <c r="D105" i="3" s="1"/>
  <c r="C72" i="3"/>
  <c r="C74" i="3"/>
  <c r="C104" i="3"/>
  <c r="C105" i="3" s="1"/>
  <c r="B72" i="3"/>
  <c r="B74" i="3"/>
  <c r="B104" i="3"/>
  <c r="B105" i="3" s="1"/>
  <c r="C10" i="3"/>
  <c r="B10" i="3"/>
  <c r="D73" i="3" l="1"/>
  <c r="D75" i="3" s="1"/>
  <c r="C114" i="3"/>
  <c r="C116" i="3" s="1"/>
  <c r="C115" i="3"/>
  <c r="D106" i="3"/>
  <c r="D107" i="3" s="1"/>
  <c r="C113" i="3"/>
  <c r="C73" i="3"/>
  <c r="C75" i="3" s="1"/>
  <c r="C117" i="3"/>
  <c r="B114" i="3"/>
  <c r="B116" i="3" s="1"/>
  <c r="B115" i="3"/>
  <c r="C106" i="3"/>
  <c r="C107" i="3" s="1"/>
  <c r="B113" i="3"/>
  <c r="C119" i="3"/>
  <c r="B73" i="3"/>
  <c r="B75" i="3" s="1"/>
  <c r="B117" i="3"/>
  <c r="B106" i="3"/>
  <c r="B107" i="3" s="1"/>
  <c r="B119" i="3"/>
  <c r="B118" i="3" l="1"/>
  <c r="B120" i="3" s="1"/>
  <c r="C118" i="3"/>
  <c r="C120" i="3" s="1"/>
</calcChain>
</file>

<file path=xl/sharedStrings.xml><?xml version="1.0" encoding="utf-8"?>
<sst xmlns="http://schemas.openxmlformats.org/spreadsheetml/2006/main" count="1277" uniqueCount="710">
  <si>
    <t>Rheinmetall AG — Reformulated Income Statement</t>
  </si>
  <si>
    <t>€ million | IFRS | Fiscal year ended 31 December | External / internal cost lens</t>
  </si>
  <si>
    <t>2025 and 2024 use the 2025 Annual Report (2024 restated for IFRS 5); 2023 is as reported in the 2024 Annual Report and is not restated for the 2025 civilian-business discontinuation.</t>
  </si>
  <si>
    <t>REFORMULATED INCOME STATEMENT</t>
  </si>
  <si>
    <t>Line item</t>
  </si>
  <si>
    <t>2025 (€m)</t>
  </si>
  <si>
    <t>2024 Restated (€m)</t>
  </si>
  <si>
    <t>2023 As reported (€m)</t>
  </si>
  <si>
    <t>Status</t>
  </si>
  <si>
    <t>Primary source</t>
  </si>
  <si>
    <t>Calculation / classification</t>
  </si>
  <si>
    <t>Notes</t>
  </si>
  <si>
    <t>Sales</t>
  </si>
  <si>
    <t>CHECK / AGENT</t>
  </si>
  <si>
    <t>Reported inputs below</t>
  </si>
  <si>
    <t>Linked to reported Sales</t>
  </si>
  <si>
    <t>Changes in inventories and own work capitalised</t>
  </si>
  <si>
    <t>Linked to reported inventory change + own work capitalised</t>
  </si>
  <si>
    <t>Value of Production</t>
  </si>
  <si>
    <t>AGENT</t>
  </si>
  <si>
    <t>Calculation</t>
  </si>
  <si>
    <t>Sales + changes in inventories / own work</t>
  </si>
  <si>
    <t>Cost of materials</t>
  </si>
  <si>
    <t>Reported operating cost</t>
  </si>
  <si>
    <t>Other operating expenses (recurring)</t>
  </si>
  <si>
    <t>Notes 15 / acquisition note</t>
  </si>
  <si>
    <t>Reported Opex less disclosed unusual disposal losses and M&amp;A costs</t>
  </si>
  <si>
    <t>Other operating income (recurring)</t>
  </si>
  <si>
    <t>Note 11</t>
  </si>
  <si>
    <t>Reported OI less refunds, provision reversals, disposal gains and asset reversals</t>
  </si>
  <si>
    <t>Added Value</t>
  </si>
  <si>
    <t>Value of Production + materials + recurring Opex + recurring OI</t>
  </si>
  <si>
    <t>Personnel expenses</t>
  </si>
  <si>
    <t>Reported personnel expense</t>
  </si>
  <si>
    <t>EBITDA</t>
  </si>
  <si>
    <t>Added Value + personnel expense</t>
  </si>
  <si>
    <t>Amortization &amp; depreciation (excl. impairment)</t>
  </si>
  <si>
    <t>Note 14</t>
  </si>
  <si>
    <t>Reported D&amp;A / impairment less impairment</t>
  </si>
  <si>
    <t>Restructuring costs removed</t>
  </si>
  <si>
    <t>CMR special-item reconciliation</t>
  </si>
  <si>
    <t>Add-back because original expense line is not disclosed</t>
  </si>
  <si>
    <t>Core Operating Income</t>
  </si>
  <si>
    <t>EBITDA + recurring D&amp;A + restructuring add-back</t>
  </si>
  <si>
    <t>Result from equity-method investments (recurring)</t>
  </si>
  <si>
    <t>Note 22</t>
  </si>
  <si>
    <t>Reported at-equity result less disclosed disposal / remeasurement gains</t>
  </si>
  <si>
    <t>Other financial result (recurring, non-interest)</t>
  </si>
  <si>
    <t>Note 7 / reported financial result</t>
  </si>
  <si>
    <t>Reported other financial result less blackned step-up gain</t>
  </si>
  <si>
    <t>Non-core Operating Income</t>
  </si>
  <si>
    <t>Recurring at-equity result + recurring other financial result</t>
  </si>
  <si>
    <t>Operating Income</t>
  </si>
  <si>
    <t>Core + non-core operating income</t>
  </si>
  <si>
    <t>Interest income</t>
  </si>
  <si>
    <t>Interest expense</t>
  </si>
  <si>
    <t>Net financial result</t>
  </si>
  <si>
    <t>Interest income + interest expense</t>
  </si>
  <si>
    <t>Income before unusual items and taxes</t>
  </si>
  <si>
    <t>Operating Income + net financial result</t>
  </si>
  <si>
    <t>Unusual items</t>
  </si>
  <si>
    <t>Unusual-item schedule</t>
  </si>
  <si>
    <t>Linked to total unusual items</t>
  </si>
  <si>
    <t>Income before taxes (comprehensive-income bridge subtotal)</t>
  </si>
  <si>
    <t>Income before unusual items and taxes + unusual items</t>
  </si>
  <si>
    <t>Includes tax-only and OCI unusual items per the reformulation method.</t>
  </si>
  <si>
    <t>Income taxes — recurring continuing operations</t>
  </si>
  <si>
    <t>Tax notes</t>
  </si>
  <si>
    <t>− reported continuing tax expense − signed prior-period tax effect − signed rate-change effect</t>
  </si>
  <si>
    <t>Income taxes — discontinued operations</t>
  </si>
  <si>
    <t>Discontinued-operations notes</t>
  </si>
  <si>
    <t>Signed tax effect from discontinued operations</t>
  </si>
  <si>
    <t>Tax on OCI</t>
  </si>
  <si>
    <t>OCI tax note</t>
  </si>
  <si>
    <t>Signed tax on OCI</t>
  </si>
  <si>
    <t>Total income taxes</t>
  </si>
  <si>
    <t>Sum of recurring continuing tax + discontinued tax + OCI tax</t>
  </si>
  <si>
    <t>Rounding / reconciliation</t>
  </si>
  <si>
    <t>Reported comprehensive income less bridge subtotal and total tax</t>
  </si>
  <si>
    <t>Source / note rounding residual.</t>
  </si>
  <si>
    <t>Total comprehensive income</t>
  </si>
  <si>
    <t>Calculation / reported check</t>
  </si>
  <si>
    <t>Bridge subtotal + total tax + rounding</t>
  </si>
  <si>
    <t>of which: non-controlling interests</t>
  </si>
  <si>
    <t>Reported comprehensive income</t>
  </si>
  <si>
    <t>Reported NCI split</t>
  </si>
  <si>
    <t>of which: Rheinmetall AG shareholders</t>
  </si>
  <si>
    <t>Reported parent split</t>
  </si>
  <si>
    <t>UNUSUAL ITEMS SUPPORTING SCHEDULE</t>
  </si>
  <si>
    <t>Item</t>
  </si>
  <si>
    <t>Type</t>
  </si>
  <si>
    <t>Original line</t>
  </si>
  <si>
    <t>Criterion</t>
  </si>
  <si>
    <t>Refunds / insurance recoveries</t>
  </si>
  <si>
    <t>Pre-tax</t>
  </si>
  <si>
    <t>Other operating income</t>
  </si>
  <si>
    <t>(a) refunds / insurance recoveries</t>
  </si>
  <si>
    <t>AR 2025 Note 11 p.219; AR 2024 Note 11 p.206</t>
  </si>
  <si>
    <t>Reversal of provisions</t>
  </si>
  <si>
    <t>(b) reversal of provisions</t>
  </si>
  <si>
    <t>Disposal gains — fixed assets / divestments</t>
  </si>
  <si>
    <t>(c) disposal gains</t>
  </si>
  <si>
    <t>Disposal losses — non-current assets</t>
  </si>
  <si>
    <t>Other operating expenses</t>
  </si>
  <si>
    <t>(c) disposal losses</t>
  </si>
  <si>
    <t>AR 2025 Note 15 p.220; AR 2024 Note 15 p.208</t>
  </si>
  <si>
    <t>Impairment losses</t>
  </si>
  <si>
    <t>D&amp;A / impairment</t>
  </si>
  <si>
    <t>(d) impairment</t>
  </si>
  <si>
    <t>AR 2025 Note 14 p.220; AR 2024 Note 14 p.208</t>
  </si>
  <si>
    <t>Reversal of non-financial assets</t>
  </si>
  <si>
    <t>(d) impairment reversal</t>
  </si>
  <si>
    <t>Acquisition-related transaction costs — Loc Performance</t>
  </si>
  <si>
    <t>(e) M&amp;A transaction costs</t>
  </si>
  <si>
    <t>AR 2024 Note 7 p.203</t>
  </si>
  <si>
    <t>Gain on sale of AIM stake</t>
  </si>
  <si>
    <t>Equity-method result</t>
  </si>
  <si>
    <t>(g) disposal gain on investment</t>
  </si>
  <si>
    <t>AR 2025 Note 22 p.230</t>
  </si>
  <si>
    <t>Remeasurement gain on previously held blackned stake</t>
  </si>
  <si>
    <t>Other financial result</t>
  </si>
  <si>
    <t>(g) step-up / fair-value gain</t>
  </si>
  <si>
    <t>AR 2025 Note 7 p.214</t>
  </si>
  <si>
    <t>Shriram share disposal gain</t>
  </si>
  <si>
    <t>AR 2024 Note 22 p.216</t>
  </si>
  <si>
    <t>Shriram initial fair-value remeasurement</t>
  </si>
  <si>
    <t>(g) fair-value remeasurement</t>
  </si>
  <si>
    <t>Restructuring costs</t>
  </si>
  <si>
    <t>Line not disclosed; lowest certain level</t>
  </si>
  <si>
    <t>(f) restructuring</t>
  </si>
  <si>
    <t>AR 2025 CMR p.55; AR 2024 CMR p.52</t>
  </si>
  <si>
    <t>Prior-period income taxes</t>
  </si>
  <si>
    <t>Tax-only</t>
  </si>
  <si>
    <t>Income tax</t>
  </si>
  <si>
    <t>(i) prior-period tax</t>
  </si>
  <si>
    <t>AR 2025 Note 16 p.220 (composition used for 2024; tax reconciliation on p.221 shows a conflicting sign); AR 2024 Note 16 p.208</t>
  </si>
  <si>
    <t>Effect of changes in tax rates</t>
  </si>
  <si>
    <t>Income tax reconciliation</t>
  </si>
  <si>
    <t>(i) tax-rate change</t>
  </si>
  <si>
    <t>AR 2025 Note 16 p.221</t>
  </si>
  <si>
    <t>Discontinued operations, pre-tax</t>
  </si>
  <si>
    <t>Discontinued operations</t>
  </si>
  <si>
    <t>(h) discontinued operation</t>
  </si>
  <si>
    <t>AR 2025 Note 8 pp.215–217; AR 2024 Note 8 p.204</t>
  </si>
  <si>
    <t>Other comprehensive income, pre-tax</t>
  </si>
  <si>
    <t>OCI</t>
  </si>
  <si>
    <t>Other comprehensive income</t>
  </si>
  <si>
    <t>(j) OCI pre-tax</t>
  </si>
  <si>
    <t>AR 2025 Note 26 p.234; AR 2024 Note 26 p.221</t>
  </si>
  <si>
    <t>Total unusual items</t>
  </si>
  <si>
    <t>Formula</t>
  </si>
  <si>
    <t>Vertical sum of unusual-item schedule</t>
  </si>
  <si>
    <t>REPORTED SOURCE INPUTS</t>
  </si>
  <si>
    <t>Reported line / input</t>
  </si>
  <si>
    <t>Use</t>
  </si>
  <si>
    <t>AR 2025 p.199; AR 2024 p.188</t>
  </si>
  <si>
    <t>Main statement</t>
  </si>
  <si>
    <t>Recurring OI bridge</t>
  </si>
  <si>
    <t>AR 2025 p.199 / Note 12; AR 2024 p.188</t>
  </si>
  <si>
    <t>AR 2025 p.199 / Note 13; AR 2024 p.188</t>
  </si>
  <si>
    <t>Amortization, depreciation and impairment</t>
  </si>
  <si>
    <t>AR 2025 p.199 / Note 14 p.220; AR 2024 p.188 / Note 14 p.208</t>
  </si>
  <si>
    <t>Recurring D&amp;A bridge</t>
  </si>
  <si>
    <t>AR 2025 p.199 / Note 15 p.220; AR 2024 p.188 / Note 15 p.208</t>
  </si>
  <si>
    <t>Recurring Opex bridge</t>
  </si>
  <si>
    <t>Result from investments accounted for using equity method</t>
  </si>
  <si>
    <t>AR 2025 p.199 / Note 22 p.230; AR 2024 p.188 / Note 22 p.216</t>
  </si>
  <si>
    <t>Non-core bridge</t>
  </si>
  <si>
    <t>Continuing income tax expense (positive magnitude)</t>
  </si>
  <si>
    <t>AR 2025 Note 16 pp.220–221; AR 2024 Note 16 p.208</t>
  </si>
  <si>
    <t>Tax bridge</t>
  </si>
  <si>
    <t>Discontinued-operations tax effect (signed)</t>
  </si>
  <si>
    <t>2025/2024 aggregate civilian + pistons tax effects</t>
  </si>
  <si>
    <t>OCI tax effect (signed)</t>
  </si>
  <si>
    <t>Reconciliation target</t>
  </si>
  <si>
    <t>NCI comprehensive income</t>
  </si>
  <si>
    <t>Reported split</t>
  </si>
  <si>
    <t>Parent comprehensive income</t>
  </si>
  <si>
    <t>Reported EBT (check only)</t>
  </si>
  <si>
    <t>Check only</t>
  </si>
  <si>
    <t>Reported earnings after taxes (check only)</t>
  </si>
  <si>
    <t>Scope / source note</t>
  </si>
  <si>
    <t>Figures are in € million. 2025 and 2024 are continuing-operations figures from the 2025 Annual Report, with 2024 restated under IFRS 5. The 2023 column is from the 2024 Annual Report and retains the then-reported continuing-operations scope (including Power Systems), so it is not directly comparable with 2025/2024. Unusual items follow the supplied reformulation methodology and are linked once into the comprehensive-income bridge.</t>
  </si>
  <si>
    <t>Rheinmetall AG — Managerial Balance Sheet</t>
  </si>
  <si>
    <t>€ million | IFRS | Closing balances at 31 December | Consolidated incl. NCI</t>
  </si>
  <si>
    <t>2025 and 2024 source balances are from the 2025 Annual Report; 2023 is from the 2024 Annual Report. The 2024 balance sheet is not restated for the 2025 IFRS 5 civilian-business discontinuation, so it is not fully scope-matched to the 2024 restated continuing-operations income statement. No unsupported 2024 disposal-group balance-sheet estimate is made.</t>
  </si>
  <si>
    <t>MANAGERIAL BALANCE SHEET</t>
  </si>
  <si>
    <t>Category</t>
  </si>
  <si>
    <t>2024 (€m)</t>
  </si>
  <si>
    <t>2023 (€m)</t>
  </si>
  <si>
    <t>Source / calculation</t>
  </si>
  <si>
    <t>Classification</t>
  </si>
  <si>
    <t>CURRENT OPERATING ASSETS</t>
  </si>
  <si>
    <t>Inventories</t>
  </si>
  <si>
    <t>2025/24 CHECK; 2023 AGENT</t>
  </si>
  <si>
    <t>AR 2025 p.200 / Note 23 p.229; AR 2024 p.189 / Note 23 p.217</t>
  </si>
  <si>
    <t>Operating; inventories include prepayments made.</t>
  </si>
  <si>
    <t>Contract assets</t>
  </si>
  <si>
    <t>AR 2025 p.200; AR 2024 p.189</t>
  </si>
  <si>
    <t>Operating contract asset.</t>
  </si>
  <si>
    <t>Trade receivables</t>
  </si>
  <si>
    <t>Operating receivable.</t>
  </si>
  <si>
    <t>Contract acquisition costs</t>
  </si>
  <si>
    <t>AR 2025 Note 24 p.230; AR 2024 Note 24 p.217</t>
  </si>
  <si>
    <t>Operating non-financial asset; included irrespective of IAS 1 maturity.</t>
  </si>
  <si>
    <t>Contract costs</t>
  </si>
  <si>
    <t>Prepaid expenses</t>
  </si>
  <si>
    <t>Operating non-financial asset.</t>
  </si>
  <si>
    <t>Other non-financial operating assets</t>
  </si>
  <si>
    <t>Excludes other-tax receivables and pension surplus; 2024/23 combines subsidy, insurance and other non-financial rows.</t>
  </si>
  <si>
    <t>Derivative assets — operating-risk hedges</t>
  </si>
  <si>
    <t>AR 2025 Note 24 p.230 &amp; Note 34 pp.248–249; AR 2024 Note 24 p.217 / Note 34 p.233</t>
  </si>
  <si>
    <t>Operating; all maturities. Derivatives are disclosed as currency/commodity hedges.</t>
  </si>
  <si>
    <t>Current operating assets</t>
  </si>
  <si>
    <t>Sum of operating-asset lines above</t>
  </si>
  <si>
    <t>Managerial current operating assets.</t>
  </si>
  <si>
    <t>OPERATING LIABILITIES</t>
  </si>
  <si>
    <t>Contract liabilities</t>
  </si>
  <si>
    <t>Operating liability.</t>
  </si>
  <si>
    <t>Trade liabilities</t>
  </si>
  <si>
    <t>Other current provisions</t>
  </si>
  <si>
    <t>AR 2025 p.200 / Note 28 p.240; AR 2024 p.189 / Note 28 p.226</t>
  </si>
  <si>
    <t>Operating provisions.</t>
  </si>
  <si>
    <t>Pension provisions</t>
  </si>
  <si>
    <t>Operating pension obligation before plan surplus.</t>
  </si>
  <si>
    <t>Less: net defined-benefit asset / plan surplus</t>
  </si>
  <si>
    <t>Netted against pension provisions under the method.</t>
  </si>
  <si>
    <t>Pension provisions, net of plan surplus</t>
  </si>
  <si>
    <t>Pension provisions less plan surplus</t>
  </si>
  <si>
    <t>Operating liability; may be negative when plan surplus exceeds provision.</t>
  </si>
  <si>
    <t>Other non-current provisions</t>
  </si>
  <si>
    <t>Operating provisions regardless of maturity.</t>
  </si>
  <si>
    <t>Social-security liabilities</t>
  </si>
  <si>
    <t>AR 2025 Note 30 p.243; AR 2024 Note 30 p.230</t>
  </si>
  <si>
    <t>Operating non-financial liability.</t>
  </si>
  <si>
    <t>Other non-financial liabilities</t>
  </si>
  <si>
    <t>Operating non-financial liability; excludes other-tax liabilities.</t>
  </si>
  <si>
    <t>Derivative liabilities — operating-risk hedges</t>
  </si>
  <si>
    <t>AR 2025 Note 30 p.243 &amp; Note 34 pp.248–249; AR 2024 Note 30 p.230 / Note 34 p.233</t>
  </si>
  <si>
    <t>Operating; all maturities. Currency/commodity hedges.</t>
  </si>
  <si>
    <t>Operating liabilities</t>
  </si>
  <si>
    <t>Contract/trade/provisions/pensions/non-financial liabilities/operating derivatives</t>
  </si>
  <si>
    <t>Recurring operating liabilities.</t>
  </si>
  <si>
    <t>Net operating working capital (NOWC)</t>
  </si>
  <si>
    <t>Current operating assets − operating liabilities</t>
  </si>
  <si>
    <t>Closing-balance NOWC.</t>
  </si>
  <si>
    <t>NON-CURRENT OPERATING ASSETS</t>
  </si>
  <si>
    <t>Goodwill</t>
  </si>
  <si>
    <t>Non-current operating asset.</t>
  </si>
  <si>
    <t>Other intangible assets</t>
  </si>
  <si>
    <t>Right-of-use assets</t>
  </si>
  <si>
    <t>Property, plant and equipment</t>
  </si>
  <si>
    <t>Investment property</t>
  </si>
  <si>
    <t>Operating by default under supplied methodology.</t>
  </si>
  <si>
    <t>Non-current operating assets</t>
  </si>
  <si>
    <t>Sum of non-current operating assets</t>
  </si>
  <si>
    <t>Managerial non-current operating assets.</t>
  </si>
  <si>
    <t>Gross operating invested capital</t>
  </si>
  <si>
    <t>Current operating assets + non-current operating assets</t>
  </si>
  <si>
    <t>Gross means before operating liabilities, not before depreciation.</t>
  </si>
  <si>
    <t>Net operating invested capital</t>
  </si>
  <si>
    <t>Gross operating invested capital − operating liabilities</t>
  </si>
  <si>
    <t>Operating capital net of recurring operating liabilities.</t>
  </si>
  <si>
    <t>NON-OPERATING ASSETS</t>
  </si>
  <si>
    <t>Investments accounted for using the equity method</t>
  </si>
  <si>
    <t>Non-operating asset; associated income is non-core operating income.</t>
  </si>
  <si>
    <t>Assets held for sale, net of associated liabilities</t>
  </si>
  <si>
    <t>2025: 1,270 − 708; 2024: none; 2023: 196 − 161. AR 2024 Note 8 p.204 detailed disposal-group net assets show €34m vs €35m from face totals due standalone rounding; face totals are used for the managerial identity.</t>
  </si>
  <si>
    <t>Non-operating net disposal-group asset; cash inside disposal group remains there.</t>
  </si>
  <si>
    <t>Non-current financial assets, excluding derivatives</t>
  </si>
  <si>
    <t>AR 2025 Note 24 p.230: 77−32 / 90−9; AR 2024 Note 24 p.217: 53−7</t>
  </si>
  <si>
    <t>Non-operating financial assets; excludes operating derivatives. Note 24 is a mixed financial-asset caption; classification follows the team workbook convention.</t>
  </si>
  <si>
    <t>Non-operating assets</t>
  </si>
  <si>
    <t>Sum of equity-method investments + net held-for-sale assets + non-current financial assets</t>
  </si>
  <si>
    <t>Non-operating asset pool.</t>
  </si>
  <si>
    <t>Total gross invested capital</t>
  </si>
  <si>
    <t>Gross operating invested capital + non-operating assets</t>
  </si>
  <si>
    <t>Managerial gross invested capital.</t>
  </si>
  <si>
    <t>Total net invested capital</t>
  </si>
  <si>
    <t>Net operating invested capital + non-operating assets</t>
  </si>
  <si>
    <t>Must reconcile to equity + NFP + net tax position + separately classified other liabilities.</t>
  </si>
  <si>
    <t>FINANCING, TAX AND EQUITY</t>
  </si>
  <si>
    <t>Reported financial debts (including lease liabilities)</t>
  </si>
  <si>
    <t>AR 2025 Note 29 p.241; AR 2024 Note 29 p.227</t>
  </si>
  <si>
    <t>Financial debt; includes lease liabilities.</t>
  </si>
  <si>
    <t>Other financing liabilities, excluding operating derivatives</t>
  </si>
  <si>
    <t>Other financial liabilities are treated as financing; immaterial acquisition-related amounts, if any, remain here.</t>
  </si>
  <si>
    <t>Less: cash and cash equivalents</t>
  </si>
  <si>
    <t>All cash is financial; no working-cash carve-out.</t>
  </si>
  <si>
    <t>Less: current financial assets, excluding derivatives</t>
  </si>
  <si>
    <t>AR 2025 Note 24 p.230: 89−48 / 113−32; AR 2024 Note 24 p.217: 95−18</t>
  </si>
  <si>
    <t>Netted in NFP; operating derivatives are excluded. Note 24 is a mixed financial-asset caption; classification follows the team workbook convention.</t>
  </si>
  <si>
    <t>Net financial position (NFP)</t>
  </si>
  <si>
    <t>Financial debt + other financing liabilities − cash − current financial assets</t>
  </si>
  <si>
    <t>Positive = net financial obligations; negative = net financial assets/liquidity.</t>
  </si>
  <si>
    <t>Deferred tax liabilities</t>
  </si>
  <si>
    <t>Tax position.</t>
  </si>
  <si>
    <t>Income tax liabilities</t>
  </si>
  <si>
    <t>Other-tax liabilities</t>
  </si>
  <si>
    <t>Total tax liabilities</t>
  </si>
  <si>
    <t>Deferred + income + other-tax liabilities</t>
  </si>
  <si>
    <t>Less: deferred tax assets</t>
  </si>
  <si>
    <t>Less: income tax receivables</t>
  </si>
  <si>
    <t>Less: other-tax assets</t>
  </si>
  <si>
    <t>Net tax position</t>
  </si>
  <si>
    <t>Tax liabilities − tax assets</t>
  </si>
  <si>
    <t>Shown separately from operating liabilities.</t>
  </si>
  <si>
    <t>Separately classified other liabilities</t>
  </si>
  <si>
    <t>No material separately classified balance identified; held-for-sale positions are net assets in 2025/2023</t>
  </si>
  <si>
    <t>No material divestment/investment payable requiring separate classification identified.</t>
  </si>
  <si>
    <t>Equity (including non-controlling interests)</t>
  </si>
  <si>
    <t>Consolidated equity including NCI, per methodology.</t>
  </si>
  <si>
    <t>Total financing</t>
  </si>
  <si>
    <t>Equity + NFP + net tax position + separately classified other liabilities</t>
  </si>
  <si>
    <t>Financing side of managerial identity.</t>
  </si>
  <si>
    <t>Managerial identity residual</t>
  </si>
  <si>
    <t>Total net invested capital − total financing</t>
  </si>
  <si>
    <t>Should be zero; any non-zero amount requires explanation.</t>
  </si>
  <si>
    <t>MEMO / SCOPE CHECK</t>
  </si>
  <si>
    <t>Reported total assets</t>
  </si>
  <si>
    <t>Reported total assets; not replaced by managerial invested-capital totals.</t>
  </si>
  <si>
    <t>Held-for-sale assets (reported)</t>
  </si>
  <si>
    <t>AR 2025 p.200 / Note 8 pp.215–216; AR 2024 p.189 / Note 8 p.204</t>
  </si>
  <si>
    <t>Memo only.</t>
  </si>
  <si>
    <t>Held-for-sale liabilities (reported)</t>
  </si>
  <si>
    <t>Rheinmetall AG — ROE Analysis</t>
  </si>
  <si>
    <t>€ million | IFRS | Fiscal year ended 31 December | Consolidated incl. NCI | Closing equity</t>
  </si>
  <si>
    <t>2025 and 2024 income-statement figures use the 2025 Annual Report (2024 restated for IFRS 5); 2023 is as reported in the 2024 Annual Report. The 2024 managerial balance sheet is not restated for the 2025 civilian-business discontinuation, so return decompositions using 2024 closing balance-sheet amounts retain that scope mismatch.</t>
  </si>
  <si>
    <t>ROE SUMMARY</t>
  </si>
  <si>
    <t>Measure / input</t>
  </si>
  <si>
    <t>2025</t>
  </si>
  <si>
    <t>2024 Restated</t>
  </si>
  <si>
    <t>2023 As reported</t>
  </si>
  <si>
    <t>ROE on net income — direct</t>
  </si>
  <si>
    <t>Reported net income / closing equity</t>
  </si>
  <si>
    <t>DuPont direct check.</t>
  </si>
  <si>
    <t>ROE on comprehensive income — direct</t>
  </si>
  <si>
    <t>Reformulated IS total comprehensive income / closing equity</t>
  </si>
  <si>
    <t>Consolidated incl. NCI.</t>
  </si>
  <si>
    <t>OCI / equity bridge</t>
  </si>
  <si>
    <t>(Comprehensive income − net income) / closing equity</t>
  </si>
  <si>
    <t>Dirty-surplus bridge.</t>
  </si>
  <si>
    <t>Bridge check</t>
  </si>
  <si>
    <t>ROE(CI) − ROE(NI) − OCI/equity</t>
  </si>
  <si>
    <t>Should be zero.</t>
  </si>
  <si>
    <t>DUPONT — REPORTED FIGURES</t>
  </si>
  <si>
    <t>Net income</t>
  </si>
  <si>
    <t>CHECK</t>
  </si>
  <si>
    <t>Reformulated IS reported-source input</t>
  </si>
  <si>
    <t>Reported figure.</t>
  </si>
  <si>
    <t>Continuing net income</t>
  </si>
  <si>
    <t>ROE support input; AR 2025 p.199; AR 2024 p.188</t>
  </si>
  <si>
    <t>Reported continuing operations.</t>
  </si>
  <si>
    <t>Earnings before taxes (EBT)</t>
  </si>
  <si>
    <t>Reported continuing EBT.</t>
  </si>
  <si>
    <t>EBIT</t>
  </si>
  <si>
    <t>Reported EBIT.</t>
  </si>
  <si>
    <t>Reformulated IS</t>
  </si>
  <si>
    <t>Reported sales.</t>
  </si>
  <si>
    <t>Total assets</t>
  </si>
  <si>
    <t>Managerial BS — reported total assets</t>
  </si>
  <si>
    <t>Closing balance.</t>
  </si>
  <si>
    <t>Equity incl. NCI</t>
  </si>
  <si>
    <t>Managerial BS — equity incl. NCI</t>
  </si>
  <si>
    <t>Tax effect = continuing net income / EBT</t>
  </si>
  <si>
    <t>Continuing net income / EBT</t>
  </si>
  <si>
    <t>Tax effect in DuPont split.</t>
  </si>
  <si>
    <t>Discontinued effect = net income / continuing net income</t>
  </si>
  <si>
    <t>Net income / continuing net income</t>
  </si>
  <si>
    <t>Discontinued-operations effect.</t>
  </si>
  <si>
    <t>Net income / EBT</t>
  </si>
  <si>
    <t>Should equal tax effect × discontinued effect.</t>
  </si>
  <si>
    <t>Tax × discontinued split check</t>
  </si>
  <si>
    <t>Tax effect × discontinued effect − net income/EBT</t>
  </si>
  <si>
    <t>EBT / EBIT</t>
  </si>
  <si>
    <t>Reported DuPont.</t>
  </si>
  <si>
    <t>EBIT / sales</t>
  </si>
  <si>
    <t>Sales / total assets</t>
  </si>
  <si>
    <t>Closing-balance turnover.</t>
  </si>
  <si>
    <t>Total assets / equity</t>
  </si>
  <si>
    <t>Closing-balance leverage.</t>
  </si>
  <si>
    <t>DuPont ROE</t>
  </si>
  <si>
    <t>Product of DuPont factors</t>
  </si>
  <si>
    <t>Reported DuPont ROE.</t>
  </si>
  <si>
    <t>Direct ROE on net income</t>
  </si>
  <si>
    <t>Net income / equity</t>
  </si>
  <si>
    <t>Direct check.</t>
  </si>
  <si>
    <t>Decomposition check</t>
  </si>
  <si>
    <t>DuPont ROE − direct ROE</t>
  </si>
  <si>
    <t>Technical tolerance 0.01 pp.</t>
  </si>
  <si>
    <t>DUPONT LIMITATIONS — QUANTIFIED</t>
  </si>
  <si>
    <t>1. Core return on sales</t>
  </si>
  <si>
    <t>Reformulated IS core operating income / sales</t>
  </si>
  <si>
    <t>Limitation 1.</t>
  </si>
  <si>
    <t>1. Reported EBIT / sales</t>
  </si>
  <si>
    <t>Reported EBIT / sales</t>
  </si>
  <si>
    <t>1. Margin-definition difference</t>
  </si>
  <si>
    <t>Core ROS − reported EBIT margin</t>
  </si>
  <si>
    <t>Quantifies margin-definition difference.</t>
  </si>
  <si>
    <t>2. Operating turnover = sales / gross operating invested capital</t>
  </si>
  <si>
    <t>Sales / managerial gross operating invested capital</t>
  </si>
  <si>
    <t>Limitation 2.</t>
  </si>
  <si>
    <t>2. Total-asset turnover</t>
  </si>
  <si>
    <t>Sales / reported total assets</t>
  </si>
  <si>
    <t>2. Turnover-definition difference</t>
  </si>
  <si>
    <t>Operating turnover − total-asset turnover</t>
  </si>
  <si>
    <t>Quantifies denominator effect.</t>
  </si>
  <si>
    <t>3. Operating liabilities / equity</t>
  </si>
  <si>
    <t>Managerial operating liabilities / equity</t>
  </si>
  <si>
    <t>Limitation 3.</t>
  </si>
  <si>
    <t>3. Financial debt + other financing liabilities / equity</t>
  </si>
  <si>
    <t>Managerial financial debt + other financing liabilities / equity</t>
  </si>
  <si>
    <t>3. Total assets / equity</t>
  </si>
  <si>
    <t>Reported total assets / equity</t>
  </si>
  <si>
    <t>Reported leverage context.</t>
  </si>
  <si>
    <t>4. Interest income</t>
  </si>
  <si>
    <t>Reformulated IS interest income</t>
  </si>
  <si>
    <t>Limitation 4.</t>
  </si>
  <si>
    <t>4. Interest income / EBIT</t>
  </si>
  <si>
    <t>Interest income / reported EBIT</t>
  </si>
  <si>
    <t>Quantifies financial-income location.</t>
  </si>
  <si>
    <t>5. |Unusual items| / |income before unusual items and taxes|</t>
  </si>
  <si>
    <t>|Unusual items| / |income before unusual items and taxes|</t>
  </si>
  <si>
    <t>Limitation 5.</t>
  </si>
  <si>
    <t>MODIGLIANI–MILLER — SELECTED: SECOND ADJUSTMENT (NET FINANCIAL OBLIGATIONS / ASSETS)</t>
  </si>
  <si>
    <t>Selected formulation: second adjustment. Operating liabilities exist and financial assets are classified outside operations. Use the NFO branch when NFO &gt; 0 and the NFA branch when financial assets exceed financial obligations.</t>
  </si>
  <si>
    <t>Managerial BS</t>
  </si>
  <si>
    <t>Net operating assets</t>
  </si>
  <si>
    <t>Net operating invested capital − net tax position</t>
  </si>
  <si>
    <t>Net operating assets.</t>
  </si>
  <si>
    <t>Positive = NFO component; negative = net liquidity.</t>
  </si>
  <si>
    <t>No material separate liabilities identified.</t>
  </si>
  <si>
    <t>Net financial obligations (NFO)</t>
  </si>
  <si>
    <t>NFP + separately classified other liabilities − non-operating assets</t>
  </si>
  <si>
    <t>NFO can be negative.</t>
  </si>
  <si>
    <t>Net financial assets (NFA)</t>
  </si>
  <si>
    <t>If NFO &lt; 0, NFA = −NFO</t>
  </si>
  <si>
    <t>Only NFA branch when positive.</t>
  </si>
  <si>
    <t>Branch used</t>
  </si>
  <si>
    <t>Branch selected from sign of NFO</t>
  </si>
  <si>
    <t>2025 NFA; 2024/2023 NFO.</t>
  </si>
  <si>
    <t>Identity check: net operating assets − NFO − equity</t>
  </si>
  <si>
    <t>Net operating assets − NFO − equity</t>
  </si>
  <si>
    <t>Required identity; should be zero.</t>
  </si>
  <si>
    <t>Core operating income</t>
  </si>
  <si>
    <t>Stage-3 operating numerator.</t>
  </si>
  <si>
    <t>Stage-3 financial result = non-core operating income + net financial result</t>
  </si>
  <si>
    <t>Non-core operating income + net financial result</t>
  </si>
  <si>
    <t>Stage-3 financial result.</t>
  </si>
  <si>
    <t>Return on net operating assets</t>
  </si>
  <si>
    <t>Core operating income / net operating assets</t>
  </si>
  <si>
    <t>RNOA, pre-tax M-M basis.</t>
  </si>
  <si>
    <t>Cost of NFO</t>
  </si>
  <si>
    <t>− stage-3 financial result / NFO</t>
  </si>
  <si>
    <t>Calculated only when NFO &gt; 0.</t>
  </si>
  <si>
    <t>Return on NFA</t>
  </si>
  <si>
    <t>Stage-3 financial result / NFA</t>
  </si>
  <si>
    <t>Calculated only when NFA &gt; 0.</t>
  </si>
  <si>
    <t>NFO / equity</t>
  </si>
  <si>
    <t>NFO branch leverage.</t>
  </si>
  <si>
    <t>NFA / equity</t>
  </si>
  <si>
    <t>NFA branch weight.</t>
  </si>
  <si>
    <t>Pre-multiplier bracket</t>
  </si>
  <si>
    <t>Selected second-adjustment branch</t>
  </si>
  <si>
    <t>Pre-multiplier bracket.</t>
  </si>
  <si>
    <t>Recurring pre-unusual pre-tax income.</t>
  </si>
  <si>
    <t>Reported comprehensive income bridge.</t>
  </si>
  <si>
    <t>Final multiplier</t>
  </si>
  <si>
    <t>Comprehensive income / income before unusual items and taxes</t>
  </si>
  <si>
    <t>Final multiplier.</t>
  </si>
  <si>
    <t>Modigliani–Miller ROE</t>
  </si>
  <si>
    <t>Selected M-M bracket × final multiplier</t>
  </si>
  <si>
    <t>Principal M-M decomposition.</t>
  </si>
  <si>
    <t>Direct ROE on comprehensive income</t>
  </si>
  <si>
    <t>Comprehensive income / equity</t>
  </si>
  <si>
    <t>M-M ROE − direct ROE</t>
  </si>
  <si>
    <t>PENMAN</t>
  </si>
  <si>
    <t>Uniform tax rate is the simplifying allocation required by the methodology. The ROOA split stops unless a short-term borrowing rate is available from short-term interest expense / short-term financial liabilities or from a team-supplied market rate.</t>
  </si>
  <si>
    <t>Recurring continuing tax expense — positive magnitude</t>
  </si>
  <si>
    <t>− Reformulated IS recurring continuing tax expense</t>
  </si>
  <si>
    <t>Positive magnitude.</t>
  </si>
  <si>
    <t>Reported continuing EBT</t>
  </si>
  <si>
    <t>Reformulated IS reported EBT</t>
  </si>
  <si>
    <t>Denominator for uniform tax rate.</t>
  </si>
  <si>
    <t>Uniform tax rate</t>
  </si>
  <si>
    <t>Recurring continuing tax expense / reported continuing EBT</t>
  </si>
  <si>
    <t>Simplifying uniform allocation.</t>
  </si>
  <si>
    <t>Statutory tax rate</t>
  </si>
  <si>
    <t>ROE support input; tax note</t>
  </si>
  <si>
    <t>30% statutory rate.</t>
  </si>
  <si>
    <t>Uniform − statutory tax rate</t>
  </si>
  <si>
    <t>Uniform tax rate − statutory rate</t>
  </si>
  <si>
    <t>Tax-rate comparison.</t>
  </si>
  <si>
    <t>Recurring core operating numerator.</t>
  </si>
  <si>
    <t>NOPAT</t>
  </si>
  <si>
    <t>Core operating income × (1 − uniform tax rate)</t>
  </si>
  <si>
    <t>NOPAT.</t>
  </si>
  <si>
    <t>Stage-3 financial result</t>
  </si>
  <si>
    <t>M-M stage-3 financial result</t>
  </si>
  <si>
    <t>Financial result aligned to non-operating assets.</t>
  </si>
  <si>
    <t>Net financial expenses — positive magnitude</t>
  </si>
  <si>
    <t>− stage-3 financial result</t>
  </si>
  <si>
    <t>Positive expense magnitude when stage-3 result is negative.</t>
  </si>
  <si>
    <t>Net financial expenses, net of tax</t>
  </si>
  <si>
    <t>Net financial expenses × (1 − uniform tax rate)</t>
  </si>
  <si>
    <t>After-tax financial expense.</t>
  </si>
  <si>
    <t>Income before unusual items after tax</t>
  </si>
  <si>
    <t>Income before unusual items and taxes × (1 − uniform tax rate)</t>
  </si>
  <si>
    <t>Penman denominator for final multiplier.</t>
  </si>
  <si>
    <t>M-M net operating assets</t>
  </si>
  <si>
    <t>Same managerial classification.</t>
  </si>
  <si>
    <t>RNOA = NOPAT / net operating assets</t>
  </si>
  <si>
    <t>NOPAT / net operating assets</t>
  </si>
  <si>
    <t>Penman RNOA.</t>
  </si>
  <si>
    <t>Operating liabilities incl. tax</t>
  </si>
  <si>
    <t>Operating liabilities + net tax position</t>
  </si>
  <si>
    <t>All net tax positions are liabilities in the analysed years.</t>
  </si>
  <si>
    <t>Short-term borrowing rate</t>
  </si>
  <si>
    <t>INPUT REQUIRED</t>
  </si>
  <si>
    <t>ROE support input row 129</t>
  </si>
  <si>
    <t>No short-term rate is inferred.</t>
  </si>
  <si>
    <t>Short-term borrowing rate, after tax</t>
  </si>
  <si>
    <t>Short-term borrowing rate × (1 − uniform tax rate)</t>
  </si>
  <si>
    <t>Blank until rate supplied.</t>
  </si>
  <si>
    <t>Implicit interest</t>
  </si>
  <si>
    <t>Operating liabilities incl. tax × short-term rate × (1 − uniform rate)</t>
  </si>
  <si>
    <t>ROOA</t>
  </si>
  <si>
    <t>(NOPAT + implicit interest) / gross operating invested capital</t>
  </si>
  <si>
    <t>RNOA from ROOA split</t>
  </si>
  <si>
    <t>ROOA + spread × operating-liability leverage</t>
  </si>
  <si>
    <t>ROOA split check</t>
  </si>
  <si>
    <t>RNOA from ROOA split − direct RNOA</t>
  </si>
  <si>
    <t>After-tax operating contribution = NOPAT / equity</t>
  </si>
  <si>
    <t>NOPAT / equity</t>
  </si>
  <si>
    <t>After-tax operating contribution.</t>
  </si>
  <si>
    <t>After-tax financing contribution = −NFE after tax / equity</t>
  </si>
  <si>
    <t>− NFE after tax / equity</t>
  </si>
  <si>
    <t>After-tax financing contribution.</t>
  </si>
  <si>
    <t>Penman bracket after tax</t>
  </si>
  <si>
    <t>Operating + financing contribution</t>
  </si>
  <si>
    <t>Equals income before unusual items after tax / equity.</t>
  </si>
  <si>
    <t>Comprehensive income / income before unusual items after tax</t>
  </si>
  <si>
    <t>Final multiplier; comprehensive income is not taxed again.</t>
  </si>
  <si>
    <t>Penman ROE — direct bracket</t>
  </si>
  <si>
    <t>Penman after-tax bracket × final multiplier</t>
  </si>
  <si>
    <t>Direct Penman ROE; ROOA sub-split remains unavailable.</t>
  </si>
  <si>
    <t>Penman ROE − direct ROE</t>
  </si>
  <si>
    <t>ROOA split status</t>
  </si>
  <si>
    <t>Short-term-rate availability test</t>
  </si>
  <si>
    <t>ROOA split stops if rate is blank.</t>
  </si>
  <si>
    <t>ROE CHANGE ATTRIBUTION — MODIGLIANI–MILLER SELECTED DECOMPOSITION</t>
  </si>
  <si>
    <t>Sequential order: (1) change the pre-multiplier bracket at the prior-year multiplier, split into operating and financing contributions; (2) change the final multiplier at the current-year bracket.</t>
  </si>
  <si>
    <t>ROE change driver</t>
  </si>
  <si>
    <t>2025 vs 2024</t>
  </si>
  <si>
    <t>2024 vs 2023</t>
  </si>
  <si>
    <t>Formula / order</t>
  </si>
  <si>
    <t>Opening ROE</t>
  </si>
  <si>
    <t>Prior-year direct ROE</t>
  </si>
  <si>
    <t>M-M second-adjustment decomposition / direct ROE</t>
  </si>
  <si>
    <t>Beginning of sequential bridge.</t>
  </si>
  <si>
    <t>Operating contribution effect</t>
  </si>
  <si>
    <t>(Operating contribution current − prior) × prior multiplier</t>
  </si>
  <si>
    <t>Bracket step.</t>
  </si>
  <si>
    <t>Financing contribution effect</t>
  </si>
  <si>
    <t>(Financing contribution current − prior) × prior multiplier</t>
  </si>
  <si>
    <t>Bracket effect</t>
  </si>
  <si>
    <t>Operating effect + financing effect</t>
  </si>
  <si>
    <t>Total bracket effect.</t>
  </si>
  <si>
    <t>Final multiplier effect</t>
  </si>
  <si>
    <t>Current bracket × (current multiplier − prior multiplier)</t>
  </si>
  <si>
    <t>Second step.</t>
  </si>
  <si>
    <t>Total ROE change</t>
  </si>
  <si>
    <t>Bracket effect + multiplier effect</t>
  </si>
  <si>
    <t>Attributed ROE change.</t>
  </si>
  <si>
    <t>Direct ROE change</t>
  </si>
  <si>
    <t>Current direct ROE − prior direct ROE</t>
  </si>
  <si>
    <t>Direct comparison.</t>
  </si>
  <si>
    <t>Residual</t>
  </si>
  <si>
    <t>Attribution − direct change</t>
  </si>
  <si>
    <t>ROE SUPPORT INPUTS</t>
  </si>
  <si>
    <t>Reported EBIT</t>
  </si>
  <si>
    <t>Reported continuing net income</t>
  </si>
  <si>
    <t>Reported earnings from continuing operations.</t>
  </si>
  <si>
    <t>AR 2025 Note 16 p.221; AR 2024 Note 16 p.208</t>
  </si>
  <si>
    <t>Statutory tax rate.</t>
  </si>
  <si>
    <t>Current financial debt — memo</t>
  </si>
  <si>
    <t>AR 2025 p.58/p.200; AR 2024 p.58/p.189</t>
  </si>
  <si>
    <t>Memo: current financial debt.</t>
  </si>
  <si>
    <t>Short-term interest expense</t>
  </si>
  <si>
    <t>NOT FOUND</t>
  </si>
  <si>
    <t>Supplied annual reports</t>
  </si>
  <si>
    <t>Short-term interest expense is not separately disclosed.</t>
  </si>
  <si>
    <t>Short-term borrowing rate — team market input</t>
  </si>
  <si>
    <t>TEAM INPUT</t>
  </si>
  <si>
    <t>Market rate with source, tenor and date required</t>
  </si>
  <si>
    <t>Leave blank unless supplied by team.</t>
  </si>
  <si>
    <t>Short-term financial debts are disclosed, but short-term interest expense is not separately disclosed in the supplied annual reports. No total-interest proxy is used. Enter a team-supplied market short-term rate in row 129 to activate the Penman ROOA split.</t>
  </si>
  <si>
    <t>Rheinmetall AG — ROI Analysis</t>
  </si>
  <si>
    <t>€ million | IFRS | Fiscal year ended 31 December | Consolidated incl. NCI | Closing invested-capital balances</t>
  </si>
  <si>
    <t>ROI is calculated only from the current Reformulated IS and Managerial BS sheets, as required. 2025/2024 income-statement figures use the 2025 Annual Report (2024 restated for IFRS 5); 2023 is as reported in the 2024 Annual Report. The 2024 managerial balance sheet is not restated for the 2025 civilian-business discontinuation, so 2024 return measures retain that scope mismatch.</t>
  </si>
  <si>
    <t>ROI COMPARISON TO TEAM WORKBOOK</t>
  </si>
  <si>
    <t>Measure</t>
  </si>
  <si>
    <t>Year</t>
  </si>
  <si>
    <t>Workbook</t>
  </si>
  <si>
    <t>Agent</t>
  </si>
  <si>
    <t>Difference (pp)</t>
  </si>
  <si>
    <t>Gross ROI</t>
  </si>
  <si>
    <t>Team workbook ROI + Decomposition vs current step-by-step workbook. 2025 difference traces to the current Reformulated IS omitting the disclosed €3m NVL acquisition transaction cost add-back; source IS is not changed in this ROI step.</t>
  </si>
  <si>
    <t>Team workbook ROI + Decomposition vs current step-by-step workbook. 2024 team ROI uses operating income €6m below the current Reformulated IS, consistent with not removing the €6m Loc Performance acquisition transaction cost.</t>
  </si>
  <si>
    <t>No 2023 ROI result is present in the supplied team workbook; Agent result only.</t>
  </si>
  <si>
    <t>Net ROI</t>
  </si>
  <si>
    <t>Same 2025 operating-income difference as Gross ROI; denominators are from the current Managerial BS.</t>
  </si>
  <si>
    <t>Same 2024 operating-income difference as Gross ROI; denominators are from the current Managerial BS.</t>
  </si>
  <si>
    <t>GROSS ROI DECOMPOSITION</t>
  </si>
  <si>
    <t>Reformulated IS — Core Operating Income</t>
  </si>
  <si>
    <t>Managerial BS — Gross operating invested capital</t>
  </si>
  <si>
    <t>Closing balance; gross means before operating liabilities.</t>
  </si>
  <si>
    <t>Core return on gross operating invested capital</t>
  </si>
  <si>
    <t>Core operating income / gross operating invested capital</t>
  </si>
  <si>
    <t>Core gross return.</t>
  </si>
  <si>
    <t>Core capital weight</t>
  </si>
  <si>
    <t>Gross operating invested capital / total gross invested capital</t>
  </si>
  <si>
    <t>Core share of total gross invested capital.</t>
  </si>
  <si>
    <t>Core contribution to Gross ROI</t>
  </si>
  <si>
    <t>Core return × core capital weight</t>
  </si>
  <si>
    <t>Weighted core contribution.</t>
  </si>
  <si>
    <t>Non-core operating income</t>
  </si>
  <si>
    <t>Reformulated IS — Non-core Operating Income</t>
  </si>
  <si>
    <t>Recurring non-core operating numerator.</t>
  </si>
  <si>
    <t>Managerial BS — Non-operating assets</t>
  </si>
  <si>
    <t>Closing non-operating asset pool.</t>
  </si>
  <si>
    <t>Non-core return on non-operating assets</t>
  </si>
  <si>
    <t>Non-core operating income / non-operating assets</t>
  </si>
  <si>
    <t>Return on non-operating assets.</t>
  </si>
  <si>
    <t>Non-core capital weight</t>
  </si>
  <si>
    <t>Non-operating assets / total gross invested capital</t>
  </si>
  <si>
    <t>Non-core share of total gross invested capital.</t>
  </si>
  <si>
    <t>Non-core contribution to Gross ROI</t>
  </si>
  <si>
    <t>Non-core return × non-core capital weight</t>
  </si>
  <si>
    <t>Weighted non-core contribution.</t>
  </si>
  <si>
    <t>Operating income</t>
  </si>
  <si>
    <t>Reformulated IS — Operating Income</t>
  </si>
  <si>
    <t>Core + non-core operating income.</t>
  </si>
  <si>
    <t>Managerial BS — Total gross invested capital</t>
  </si>
  <si>
    <t>Gross operating invested capital + non-operating assets.</t>
  </si>
  <si>
    <t>Gross ROI — direct</t>
  </si>
  <si>
    <t>Operating income / total gross invested capital</t>
  </si>
  <si>
    <t>Principal Gross ROI.</t>
  </si>
  <si>
    <t>Gross ROI — decomposed</t>
  </si>
  <si>
    <t>Core contribution + non-core contribution</t>
  </si>
  <si>
    <t>Required weighted decomposition.</t>
  </si>
  <si>
    <t>Decomposed Gross ROI − direct Gross ROI</t>
  </si>
  <si>
    <t>Technical tolerance: 0.01 pp.</t>
  </si>
  <si>
    <t>Capital weights total</t>
  </si>
  <si>
    <t>Core capital weight + non-core capital weight</t>
  </si>
  <si>
    <t>Must equal 100%.</t>
  </si>
  <si>
    <t>Capital weights check</t>
  </si>
  <si>
    <t>Capital weights total − 100%</t>
  </si>
  <si>
    <t>NET ROI DECOMPOSITION</t>
  </si>
  <si>
    <t>Managerial BS — Net operating invested capital</t>
  </si>
  <si>
    <t>Closing operating capital net of recurring operating liabilities.</t>
  </si>
  <si>
    <t>Core return on net operating invested capital</t>
  </si>
  <si>
    <t>Core operating income / net operating invested capital</t>
  </si>
  <si>
    <t>Core net return.</t>
  </si>
  <si>
    <t>Net operating invested capital / total net invested capital</t>
  </si>
  <si>
    <t>Core share of total net invested capital.</t>
  </si>
  <si>
    <t>Core contribution to Net ROI</t>
  </si>
  <si>
    <t>Non-operating assets / total net invested capital</t>
  </si>
  <si>
    <t>Non-core share of total net invested capital.</t>
  </si>
  <si>
    <t>Non-core contribution to Net ROI</t>
  </si>
  <si>
    <t>Managerial BS — Total net invested capital</t>
  </si>
  <si>
    <t>Net operating invested capital + non-operating assets.</t>
  </si>
  <si>
    <t>Net ROI — direct</t>
  </si>
  <si>
    <t>Operating income / total net invested capital</t>
  </si>
  <si>
    <t>Principal Net ROI.</t>
  </si>
  <si>
    <t>Net ROI — decomposed</t>
  </si>
  <si>
    <t>Decomposed Net ROI − direct Net ROI</t>
  </si>
  <si>
    <t>CORE NET RETURN DECOMPOSITION</t>
  </si>
  <si>
    <t>Reformulated IS — Sales</t>
  </si>
  <si>
    <t>Recurring sales numerator.</t>
  </si>
  <si>
    <t>Closing gross operating capital.</t>
  </si>
  <si>
    <t>Closing net operating capital.</t>
  </si>
  <si>
    <t>Managerial BS — Operating liabilities</t>
  </si>
  <si>
    <t>Core return on sales</t>
  </si>
  <si>
    <t>Core operating income / sales</t>
  </si>
  <si>
    <t>Core return on sales.</t>
  </si>
  <si>
    <t>Operating turnover = sales / gross operating invested capital</t>
  </si>
  <si>
    <t>Sales / gross operating invested capital</t>
  </si>
  <si>
    <t>Operating asset turnover.</t>
  </si>
  <si>
    <t>Operating-liability leverage = gross / net operating invested capital</t>
  </si>
  <si>
    <t>Gross operating invested capital / net operating invested capital</t>
  </si>
  <si>
    <t>Operating-liability leverage.</t>
  </si>
  <si>
    <t>Core net return — decomposed</t>
  </si>
  <si>
    <t>Core ROS × operating turnover × operating-liability leverage</t>
  </si>
  <si>
    <t>Required core net return decomposition.</t>
  </si>
  <si>
    <t>Core net return — direct</t>
  </si>
  <si>
    <t>Direct core net return.</t>
  </si>
  <si>
    <t>Decomposed core net return − direct core net return</t>
  </si>
  <si>
    <t>Operating liabilities / gross operating invested capital</t>
  </si>
  <si>
    <t>Operating-liability funding share.</t>
  </si>
  <si>
    <t>Leverage identity = 1 / (1 − operating liabilities / gross operating invested capital)</t>
  </si>
  <si>
    <t>1 / (1 − operating-liability ratio)</t>
  </si>
  <si>
    <t>Valid because net operating invested capital = gross operating invested capital − operating liabilities.</t>
  </si>
  <si>
    <t>Leverage identity check</t>
  </si>
  <si>
    <t>Leverage identity − direct gross/net leverage</t>
  </si>
  <si>
    <t>Net operating invested capital / gross operating invested capital</t>
  </si>
  <si>
    <t>Sensitivity denominator ratio.</t>
  </si>
  <si>
    <t>Denominator sensitivity status</t>
  </si>
  <si>
    <t>Technical sensitivity test: |net operating invested capital| / gross operating invested capital &lt; 5%</t>
  </si>
  <si>
    <t>FLAG only when below 5%; all periods use closing balances.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</si>
</sst>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[Red]\(#,##0\);\-"/>
    <numFmt numFmtId="165" formatCode="0.00%;[Red]\(0.00%\);\-"/>
    <numFmt numFmtId="166" formatCode="0.00\x;[Red]\(0.00\x\);\-"/>
    <numFmt numFmtId="167" formatCode="0.00\ &quot;pp&quot;;[Red]\(0.00\ &quot;pp&quot;\);\-"/>
  </numFmts>
  <fonts count="28">
    <font>
      <sz val="11"/>
      <name val="Carlito"/>
    </font>
    <font>
      <sz val="10"/>
      <color rgb="FF000000"/>
      <name val="Arial"/>
      <family val="2"/>
    </font>
    <font>
      <b/>
      <sz val="16"/>
      <color rgb="FFFFFFFF"/>
      <name val="Arial"/>
      <family val="2"/>
    </font>
    <font>
      <i/>
      <sz val="10"/>
      <color rgb="FF404040"/>
      <name val="Arial"/>
      <family val="2"/>
    </font>
    <font>
      <i/>
      <sz val="9"/>
      <color rgb="FF7F6000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sz val="9"/>
      <color rgb="FF404040"/>
      <name val="Arial"/>
      <family val="2"/>
    </font>
    <font>
      <sz val="8"/>
      <color rgb="FF666666"/>
      <name val="Arial"/>
      <family val="2"/>
    </font>
    <font>
      <i/>
      <sz val="9"/>
      <color rgb="FF404040"/>
      <name val="Arial"/>
      <family val="2"/>
    </font>
    <font>
      <b/>
      <sz val="9"/>
      <color rgb="FF7F6000"/>
      <name val="Arial"/>
      <family val="2"/>
    </font>
    <font>
      <b/>
      <sz val="16"/>
      <color rgb="FFFFFFFF"/>
      <name val="Carlito"/>
    </font>
    <font>
      <i/>
      <sz val="9"/>
      <color rgb="FF404040"/>
      <name val="Carlito"/>
    </font>
    <font>
      <b/>
      <sz val="10"/>
      <color rgb="FFFFFFFF"/>
      <name val="Carlito"/>
    </font>
    <font>
      <b/>
      <sz val="9"/>
      <color rgb="FF000000"/>
      <name val="Carlito"/>
    </font>
    <font>
      <b/>
      <sz val="10"/>
      <color rgb="FF000000"/>
      <name val="Carlito"/>
    </font>
    <font>
      <sz val="10"/>
      <color rgb="FF000000"/>
      <name val="Carlito"/>
    </font>
    <font>
      <sz val="9"/>
      <color rgb="FF404040"/>
      <name val="Carlito"/>
    </font>
    <font>
      <b/>
      <sz val="9"/>
      <color rgb="FF404040"/>
      <name val="Carlito"/>
    </font>
    <font>
      <sz val="10"/>
      <color rgb="FF0000FF"/>
      <name val="Carlito"/>
    </font>
    <font>
      <i/>
      <sz val="10"/>
      <color rgb="FF000000"/>
      <name val="Carlito"/>
    </font>
    <font>
      <sz val="10"/>
      <color rgb="FF008000"/>
      <name val="Carlito"/>
    </font>
    <font>
      <sz val="9"/>
      <color rgb="FF7F6000"/>
      <name val="Carlito"/>
    </font>
    <font>
      <sz val="9"/>
      <color rgb="FFC00000"/>
      <name val="Carlito"/>
    </font>
    <font>
      <b/>
      <sz val="10"/>
      <color rgb="FF008000"/>
      <name val="Carlito"/>
    </font>
    <font>
      <sz val="9"/>
      <color rgb="FF606060"/>
      <name val="Carlito"/>
    </font>
  </fonts>
  <fills count="2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2F2F2"/>
      </patternFill>
    </fill>
    <fill>
      <patternFill patternType="solid">
        <fgColor rgb="FFF8F9FA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00"/>
      </patternFill>
    </fill>
    <fill>
      <patternFill patternType="solid">
        <fgColor rgb="FFEAF2F8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vertical="center"/>
    </xf>
    <xf numFmtId="0" fontId="6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0" fontId="8" fillId="0" borderId="1" xfId="0" applyFont="1" applyBorder="1" applyAlignment="1">
      <alignment vertical="center"/>
    </xf>
    <xf numFmtId="164" fontId="8" fillId="0" borderId="1" xfId="0" applyNumberFormat="1" applyFont="1" applyBorder="1" applyAlignment="1">
      <alignment horizontal="right" vertical="center"/>
    </xf>
    <xf numFmtId="0" fontId="8" fillId="6" borderId="1" xfId="0" applyFont="1" applyFill="1" applyBorder="1" applyAlignment="1">
      <alignment vertical="center"/>
    </xf>
    <xf numFmtId="164" fontId="8" fillId="6" borderId="1" xfId="0" applyNumberFormat="1" applyFont="1" applyFill="1" applyBorder="1" applyAlignment="1">
      <alignment horizontal="right" vertical="center"/>
    </xf>
    <xf numFmtId="0" fontId="1" fillId="6" borderId="0" xfId="0" applyFont="1" applyFill="1" applyAlignment="1">
      <alignment vertical="center" wrapText="1"/>
    </xf>
    <xf numFmtId="0" fontId="8" fillId="7" borderId="1" xfId="0" applyFont="1" applyFill="1" applyBorder="1" applyAlignment="1">
      <alignment vertical="center"/>
    </xf>
    <xf numFmtId="164" fontId="8" fillId="7" borderId="1" xfId="0" applyNumberFormat="1" applyFont="1" applyFill="1" applyBorder="1" applyAlignment="1">
      <alignment horizontal="right" vertical="center"/>
    </xf>
    <xf numFmtId="0" fontId="1" fillId="7" borderId="1" xfId="0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2" fillId="3" borderId="0" xfId="0" applyFont="1" applyFill="1" applyAlignment="1">
      <alignment horizontal="right" vertical="center" wrapText="1"/>
    </xf>
    <xf numFmtId="0" fontId="16" fillId="11" borderId="0" xfId="0" applyFont="1" applyFill="1" applyAlignment="1">
      <alignment horizontal="center" vertical="center" wrapText="1"/>
    </xf>
    <xf numFmtId="0" fontId="17" fillId="12" borderId="0" xfId="0" applyFont="1" applyFill="1" applyAlignment="1">
      <alignment horizontal="left"/>
    </xf>
    <xf numFmtId="0" fontId="17" fillId="12" borderId="0" xfId="0" applyFont="1" applyFill="1" applyAlignment="1">
      <alignment horizontal="left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vertical="top" wrapText="1"/>
    </xf>
    <xf numFmtId="0" fontId="20" fillId="12" borderId="0" xfId="0" applyFont="1" applyFill="1" applyAlignment="1">
      <alignment horizontal="left" vertical="top" wrapText="1"/>
    </xf>
    <xf numFmtId="164" fontId="0" fillId="0" borderId="0" xfId="0" applyNumberFormat="1" applyAlignment="1">
      <alignment horizontal="right" wrapText="1"/>
    </xf>
    <xf numFmtId="164" fontId="17" fillId="12" borderId="0" xfId="0" applyNumberFormat="1" applyFont="1" applyFill="1" applyAlignment="1">
      <alignment horizontal="right" wrapText="1"/>
    </xf>
    <xf numFmtId="164" fontId="21" fillId="0" borderId="0" xfId="0" applyNumberFormat="1" applyFont="1" applyAlignment="1">
      <alignment horizontal="right" wrapText="1"/>
    </xf>
    <xf numFmtId="164" fontId="17" fillId="0" borderId="0" xfId="0" applyNumberFormat="1" applyFont="1" applyAlignment="1">
      <alignment horizontal="right" wrapText="1"/>
    </xf>
    <xf numFmtId="0" fontId="17" fillId="0" borderId="1" xfId="0" applyFont="1" applyBorder="1" applyAlignment="1">
      <alignment wrapText="1"/>
    </xf>
    <xf numFmtId="164" fontId="17" fillId="0" borderId="1" xfId="0" applyNumberFormat="1" applyFont="1" applyBorder="1" applyAlignment="1">
      <alignment horizontal="right" wrapText="1"/>
    </xf>
    <xf numFmtId="0" fontId="17" fillId="0" borderId="1" xfId="0" applyFont="1" applyBorder="1" applyAlignment="1">
      <alignment vertical="top" wrapText="1"/>
    </xf>
    <xf numFmtId="0" fontId="17" fillId="12" borderId="1" xfId="0" applyFont="1" applyFill="1" applyBorder="1" applyAlignment="1">
      <alignment wrapText="1"/>
    </xf>
    <xf numFmtId="164" fontId="17" fillId="12" borderId="1" xfId="0" applyNumberFormat="1" applyFont="1" applyFill="1" applyBorder="1" applyAlignment="1">
      <alignment horizontal="right" wrapText="1"/>
    </xf>
    <xf numFmtId="0" fontId="17" fillId="12" borderId="1" xfId="0" applyFont="1" applyFill="1" applyBorder="1" applyAlignment="1">
      <alignment vertical="top" wrapText="1"/>
    </xf>
    <xf numFmtId="0" fontId="16" fillId="15" borderId="2" xfId="0" applyFont="1" applyFill="1" applyBorder="1" applyAlignment="1">
      <alignment horizontal="left" vertical="center" wrapText="1"/>
    </xf>
    <xf numFmtId="0" fontId="16" fillId="15" borderId="2" xfId="0" applyFont="1" applyFill="1" applyBorder="1" applyAlignment="1">
      <alignment horizontal="right" vertical="center" wrapText="1"/>
    </xf>
    <xf numFmtId="0" fontId="17" fillId="15" borderId="2" xfId="0" applyFont="1" applyFill="1" applyBorder="1" applyAlignment="1">
      <alignment horizontal="right"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right" vertical="center" wrapText="1"/>
    </xf>
    <xf numFmtId="165" fontId="23" fillId="0" borderId="0" xfId="0" applyNumberFormat="1" applyFont="1" applyAlignment="1">
      <alignment horizontal="right" vertical="center" wrapText="1"/>
    </xf>
    <xf numFmtId="0" fontId="17" fillId="17" borderId="1" xfId="0" applyFont="1" applyFill="1" applyBorder="1" applyAlignment="1">
      <alignment horizontal="left" vertical="center" wrapText="1"/>
    </xf>
    <xf numFmtId="165" fontId="26" fillId="17" borderId="1" xfId="0" applyNumberFormat="1" applyFont="1" applyFill="1" applyBorder="1" applyAlignment="1">
      <alignment horizontal="right" vertical="center" wrapText="1"/>
    </xf>
    <xf numFmtId="165" fontId="18" fillId="0" borderId="0" xfId="0" applyNumberFormat="1" applyFont="1" applyAlignment="1">
      <alignment horizontal="right" vertical="center" wrapText="1"/>
    </xf>
    <xf numFmtId="164" fontId="23" fillId="0" borderId="0" xfId="0" applyNumberFormat="1" applyFont="1" applyAlignment="1">
      <alignment horizontal="right" vertical="center" wrapText="1"/>
    </xf>
    <xf numFmtId="164" fontId="18" fillId="0" borderId="0" xfId="0" applyNumberFormat="1" applyFont="1" applyAlignment="1">
      <alignment horizontal="right" vertical="center" wrapText="1"/>
    </xf>
    <xf numFmtId="166" fontId="18" fillId="0" borderId="0" xfId="0" applyNumberFormat="1" applyFont="1" applyAlignment="1">
      <alignment horizontal="right" vertical="center" wrapText="1"/>
    </xf>
    <xf numFmtId="0" fontId="17" fillId="17" borderId="1" xfId="0" applyFont="1" applyFill="1" applyBorder="1" applyAlignment="1">
      <alignment horizontal="right" vertical="center" wrapText="1"/>
    </xf>
    <xf numFmtId="0" fontId="17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right" vertical="center" wrapText="1"/>
    </xf>
    <xf numFmtId="166" fontId="23" fillId="0" borderId="0" xfId="0" applyNumberFormat="1" applyFont="1" applyAlignment="1">
      <alignment horizontal="right" vertical="center" wrapText="1"/>
    </xf>
    <xf numFmtId="0" fontId="18" fillId="0" borderId="0" xfId="0" applyFont="1" applyAlignment="1">
      <alignment horizontal="center" vertical="center" wrapText="1"/>
    </xf>
    <xf numFmtId="165" fontId="17" fillId="0" borderId="1" xfId="0" applyNumberFormat="1" applyFont="1" applyBorder="1" applyAlignment="1">
      <alignment horizontal="right" vertical="center" wrapText="1"/>
    </xf>
    <xf numFmtId="165" fontId="17" fillId="17" borderId="1" xfId="0" applyNumberFormat="1" applyFont="1" applyFill="1" applyBorder="1" applyAlignment="1">
      <alignment horizontal="right" vertical="center" wrapText="1"/>
    </xf>
    <xf numFmtId="165" fontId="26" fillId="0" borderId="1" xfId="0" applyNumberFormat="1" applyFont="1" applyBorder="1" applyAlignment="1">
      <alignment horizontal="right" vertical="center" wrapText="1"/>
    </xf>
    <xf numFmtId="0" fontId="24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17" fillId="0" borderId="1" xfId="0" applyFont="1" applyBorder="1" applyAlignment="1">
      <alignment horizontal="right" vertical="center" wrapText="1"/>
    </xf>
    <xf numFmtId="164" fontId="21" fillId="0" borderId="0" xfId="0" applyNumberFormat="1" applyFont="1" applyAlignment="1">
      <alignment horizontal="right" vertical="center" wrapText="1"/>
    </xf>
    <xf numFmtId="10" fontId="21" fillId="0" borderId="0" xfId="0" applyNumberFormat="1" applyFont="1" applyAlignment="1">
      <alignment horizontal="right" vertical="center" wrapText="1"/>
    </xf>
    <xf numFmtId="10" fontId="21" fillId="16" borderId="0" xfId="0" applyNumberFormat="1" applyFont="1" applyFill="1" applyAlignment="1">
      <alignment horizontal="right" vertical="center" wrapText="1"/>
    </xf>
    <xf numFmtId="0" fontId="16" fillId="20" borderId="2" xfId="0" applyFont="1" applyFill="1" applyBorder="1" applyAlignment="1">
      <alignment horizontal="left" vertical="center" wrapText="1"/>
    </xf>
    <xf numFmtId="0" fontId="16" fillId="20" borderId="2" xfId="0" applyFont="1" applyFill="1" applyBorder="1" applyAlignment="1">
      <alignment horizontal="right" vertical="center" wrapText="1"/>
    </xf>
    <xf numFmtId="1" fontId="18" fillId="0" borderId="0" xfId="0" applyNumberFormat="1" applyFont="1" applyAlignment="1">
      <alignment horizontal="right" vertical="center" wrapText="1"/>
    </xf>
    <xf numFmtId="167" fontId="18" fillId="0" borderId="0" xfId="0" applyNumberFormat="1" applyFont="1" applyAlignment="1">
      <alignment horizontal="left" vertical="center" wrapText="1"/>
    </xf>
    <xf numFmtId="165" fontId="21" fillId="0" borderId="0" xfId="0" applyNumberFormat="1" applyFont="1" applyAlignment="1">
      <alignment horizontal="right" vertical="center" wrapText="1"/>
    </xf>
    <xf numFmtId="0" fontId="18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165" fontId="17" fillId="0" borderId="3" xfId="0" applyNumberFormat="1" applyFont="1" applyBorder="1" applyAlignment="1">
      <alignment horizontal="right" vertical="center" wrapText="1"/>
    </xf>
    <xf numFmtId="0" fontId="27" fillId="0" borderId="0" xfId="0" applyFont="1" applyAlignment="1">
      <alignment horizontal="left" vertical="center" wrapText="1"/>
    </xf>
    <xf numFmtId="165" fontId="27" fillId="0" borderId="0" xfId="0" applyNumberFormat="1" applyFont="1" applyAlignment="1">
      <alignment horizontal="right" vertical="center" wrapText="1"/>
    </xf>
    <xf numFmtId="49" fontId="27" fillId="0" borderId="0" xfId="0" applyNumberFormat="1" applyFont="1" applyAlignment="1">
      <alignment horizontal="right" vertical="center" wrapText="1"/>
    </xf>
    <xf numFmtId="0" fontId="19" fillId="0" borderId="0" xfId="0" applyFont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0" fontId="20" fillId="20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 wrapText="1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right" vertical="center"/>
    </xf>
    <xf numFmtId="0" fontId="5" fillId="4" borderId="0" xfId="0" applyFont="1" applyFill="1" applyAlignment="1">
      <alignment horizontal="left" vertical="center" wrapText="1"/>
    </xf>
    <xf numFmtId="0" fontId="11" fillId="8" borderId="0" xfId="0" applyFont="1" applyFill="1" applyAlignment="1">
      <alignment vertical="top" wrapText="1"/>
    </xf>
    <xf numFmtId="0" fontId="13" fillId="9" borderId="0" xfId="0" applyFont="1" applyFill="1" applyAlignment="1">
      <alignment horizontal="left" vertical="center"/>
    </xf>
    <xf numFmtId="0" fontId="14" fillId="0" borderId="0" xfId="0" applyFont="1" applyAlignment="1">
      <alignment wrapText="1"/>
    </xf>
    <xf numFmtId="0" fontId="15" fillId="10" borderId="0" xfId="0" applyFont="1" applyFill="1" applyAlignment="1">
      <alignment horizontal="left" vertical="center"/>
    </xf>
    <xf numFmtId="0" fontId="13" fillId="13" borderId="0" xfId="0" applyFont="1" applyFill="1" applyAlignment="1">
      <alignment horizontal="left" vertical="center" wrapText="1"/>
    </xf>
    <xf numFmtId="0" fontId="13" fillId="13" borderId="0" xfId="0" applyFont="1" applyFill="1" applyAlignment="1">
      <alignment horizontal="right"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right" vertical="center" wrapText="1"/>
    </xf>
    <xf numFmtId="0" fontId="15" fillId="14" borderId="0" xfId="0" applyFont="1" applyFill="1" applyAlignment="1">
      <alignment horizontal="left" vertical="center" wrapText="1"/>
    </xf>
    <xf numFmtId="0" fontId="15" fillId="14" borderId="0" xfId="0" applyFont="1" applyFill="1" applyAlignment="1">
      <alignment horizontal="right" vertical="center" wrapText="1"/>
    </xf>
    <xf numFmtId="0" fontId="17" fillId="14" borderId="0" xfId="0" applyFont="1" applyFill="1" applyAlignment="1">
      <alignment horizontal="right" vertical="center" wrapText="1"/>
    </xf>
    <xf numFmtId="0" fontId="22" fillId="0" borderId="0" xfId="0" applyFont="1" applyAlignment="1">
      <alignment horizontal="right" vertical="center" wrapText="1"/>
    </xf>
    <xf numFmtId="0" fontId="13" fillId="18" borderId="0" xfId="0" applyFont="1" applyFill="1" applyAlignment="1">
      <alignment horizontal="left" vertical="center" wrapText="1"/>
    </xf>
    <xf numFmtId="0" fontId="13" fillId="18" borderId="0" xfId="0" applyFont="1" applyFill="1" applyAlignment="1">
      <alignment horizontal="right" vertical="center" wrapText="1"/>
    </xf>
    <xf numFmtId="0" fontId="15" fillId="19" borderId="0" xfId="0" applyFont="1" applyFill="1" applyAlignment="1">
      <alignment horizontal="left" vertical="center" wrapText="1"/>
    </xf>
    <xf numFmtId="0" fontId="15" fillId="19" borderId="0" xfId="0" applyFont="1" applyFill="1" applyAlignment="1">
      <alignment horizontal="right" vertical="center" wrapText="1"/>
    </xf>
    <xf numFmtId="0" fontId="20" fillId="19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showGridLines="0" tabSelected="1" workbookViewId="0">
      <selection sqref="A1:H1"/>
    </sheetView>
  </sheetViews>
  <sheetFormatPr baseColWidth="10" defaultColWidth="8.83203125" defaultRowHeight="14"/>
  <cols>
    <col min="1" max="1" width="46" customWidth="1"/>
    <col min="2" max="2" width="15" customWidth="1"/>
    <col min="3" max="4" width="19" customWidth="1"/>
    <col min="5" max="5" width="17" customWidth="1"/>
    <col min="6" max="8" width="38" customWidth="1"/>
  </cols>
  <sheetData>
    <row r="1" spans="1:8" ht="24" customHeight="1">
      <c r="A1" s="75" t="s">
        <v>0</v>
      </c>
      <c r="B1" s="75"/>
      <c r="C1" s="75"/>
      <c r="D1" s="75"/>
      <c r="E1" s="75"/>
      <c r="F1" s="75"/>
      <c r="G1" s="75"/>
      <c r="H1" s="75"/>
    </row>
    <row r="2" spans="1:8" ht="18" customHeight="1">
      <c r="A2" s="76" t="s">
        <v>1</v>
      </c>
      <c r="B2" s="76"/>
      <c r="C2" s="76"/>
      <c r="D2" s="76"/>
      <c r="E2" s="76"/>
      <c r="F2" s="76"/>
      <c r="G2" s="76"/>
      <c r="H2" s="76"/>
    </row>
    <row r="3" spans="1:8" ht="30" customHeight="1">
      <c r="A3" s="77" t="s">
        <v>2</v>
      </c>
      <c r="B3" s="77"/>
      <c r="C3" s="77"/>
      <c r="D3" s="77"/>
      <c r="E3" s="77"/>
      <c r="F3" s="77"/>
      <c r="G3" s="77"/>
      <c r="H3" s="77"/>
    </row>
    <row r="4" spans="1:8">
      <c r="A4" s="1"/>
      <c r="B4" s="1"/>
      <c r="C4" s="1"/>
      <c r="D4" s="1"/>
      <c r="E4" s="1"/>
      <c r="F4" s="1"/>
      <c r="G4" s="1"/>
      <c r="H4" s="1"/>
    </row>
    <row r="5" spans="1:8" ht="20" customHeight="1">
      <c r="A5" s="78" t="s">
        <v>3</v>
      </c>
      <c r="B5" s="78"/>
      <c r="C5" s="78"/>
      <c r="D5" s="78"/>
      <c r="E5" s="78"/>
      <c r="F5" s="78"/>
      <c r="G5" s="78"/>
      <c r="H5" s="78"/>
    </row>
    <row r="6" spans="1:8" ht="30" customHeight="1">
      <c r="A6" s="2" t="s">
        <v>4</v>
      </c>
      <c r="B6" s="3" t="s">
        <v>5</v>
      </c>
      <c r="C6" s="3" t="s">
        <v>6</v>
      </c>
      <c r="D6" s="18" t="s">
        <v>7</v>
      </c>
      <c r="E6" s="2" t="s">
        <v>8</v>
      </c>
      <c r="F6" s="2" t="s">
        <v>9</v>
      </c>
      <c r="G6" s="2" t="s">
        <v>10</v>
      </c>
      <c r="H6" s="2" t="s">
        <v>11</v>
      </c>
    </row>
    <row r="7" spans="1:8">
      <c r="A7" s="1" t="s">
        <v>12</v>
      </c>
      <c r="B7" s="6">
        <f t="shared" ref="B7:D8" si="0">B62</f>
        <v>9935</v>
      </c>
      <c r="C7" s="6">
        <f t="shared" si="0"/>
        <v>7715</v>
      </c>
      <c r="D7" s="6">
        <f t="shared" si="0"/>
        <v>7176</v>
      </c>
      <c r="E7" s="5" t="s">
        <v>13</v>
      </c>
      <c r="F7" s="5" t="s">
        <v>14</v>
      </c>
      <c r="G7" s="5" t="s">
        <v>15</v>
      </c>
      <c r="H7" s="5"/>
    </row>
    <row r="8" spans="1:8" ht="28">
      <c r="A8" s="1" t="s">
        <v>16</v>
      </c>
      <c r="B8" s="6">
        <f t="shared" si="0"/>
        <v>521</v>
      </c>
      <c r="C8" s="6">
        <f t="shared" si="0"/>
        <v>132</v>
      </c>
      <c r="D8" s="6">
        <f t="shared" si="0"/>
        <v>696</v>
      </c>
      <c r="E8" s="5" t="s">
        <v>13</v>
      </c>
      <c r="F8" s="5" t="s">
        <v>14</v>
      </c>
      <c r="G8" s="5" t="s">
        <v>17</v>
      </c>
      <c r="H8" s="5"/>
    </row>
    <row r="9" spans="1:8">
      <c r="A9" s="8" t="s">
        <v>18</v>
      </c>
      <c r="B9" s="9">
        <f>SUM(B7:B8)</f>
        <v>10456</v>
      </c>
      <c r="C9" s="9">
        <f>SUM(C7:C8)</f>
        <v>7847</v>
      </c>
      <c r="D9" s="9">
        <f>SUM(D7:D8)</f>
        <v>7872</v>
      </c>
      <c r="E9" s="5" t="s">
        <v>19</v>
      </c>
      <c r="F9" s="5" t="s">
        <v>20</v>
      </c>
      <c r="G9" s="5" t="s">
        <v>21</v>
      </c>
      <c r="H9" s="5"/>
    </row>
    <row r="10" spans="1:8">
      <c r="A10" s="1" t="s">
        <v>22</v>
      </c>
      <c r="B10" s="6">
        <f>B65</f>
        <v>-5252</v>
      </c>
      <c r="C10" s="6">
        <f>C65</f>
        <v>-3693</v>
      </c>
      <c r="D10" s="6">
        <f>D65</f>
        <v>-3935</v>
      </c>
      <c r="E10" s="5" t="s">
        <v>13</v>
      </c>
      <c r="F10" s="5" t="s">
        <v>14</v>
      </c>
      <c r="G10" s="5" t="s">
        <v>23</v>
      </c>
      <c r="H10" s="5"/>
    </row>
    <row r="11" spans="1:8" ht="28">
      <c r="A11" s="1" t="s">
        <v>24</v>
      </c>
      <c r="B11" s="6">
        <f>B68-B45-B48</f>
        <v>-1103</v>
      </c>
      <c r="C11" s="6">
        <f>C68-C45-C48</f>
        <v>-864</v>
      </c>
      <c r="D11" s="6">
        <f>D68-D45-D48</f>
        <v>-881</v>
      </c>
      <c r="E11" s="5" t="s">
        <v>19</v>
      </c>
      <c r="F11" s="5" t="s">
        <v>25</v>
      </c>
      <c r="G11" s="5" t="s">
        <v>26</v>
      </c>
      <c r="H11" s="5"/>
    </row>
    <row r="12" spans="1:8" ht="28">
      <c r="A12" s="1" t="s">
        <v>27</v>
      </c>
      <c r="B12" s="6">
        <f>B64-SUM(B42:B44)-B47</f>
        <v>110</v>
      </c>
      <c r="C12" s="6">
        <f>C64-SUM(C42:C44)-C47</f>
        <v>98</v>
      </c>
      <c r="D12" s="6">
        <f>D64-SUM(D42:D44)-D47</f>
        <v>93</v>
      </c>
      <c r="E12" s="5" t="s">
        <v>19</v>
      </c>
      <c r="F12" s="5" t="s">
        <v>28</v>
      </c>
      <c r="G12" s="5" t="s">
        <v>29</v>
      </c>
      <c r="H12" s="5"/>
    </row>
    <row r="13" spans="1:8" ht="28">
      <c r="A13" s="8" t="s">
        <v>30</v>
      </c>
      <c r="B13" s="9">
        <f>SUM(B9:B12)</f>
        <v>4211</v>
      </c>
      <c r="C13" s="9">
        <f>SUM(C9:C12)</f>
        <v>3388</v>
      </c>
      <c r="D13" s="9">
        <f>SUM(D9:D12)</f>
        <v>3149</v>
      </c>
      <c r="E13" s="5" t="s">
        <v>19</v>
      </c>
      <c r="F13" s="5" t="s">
        <v>20</v>
      </c>
      <c r="G13" s="5" t="s">
        <v>31</v>
      </c>
      <c r="H13" s="5"/>
    </row>
    <row r="14" spans="1:8">
      <c r="A14" s="1" t="s">
        <v>32</v>
      </c>
      <c r="B14" s="6">
        <f>B66</f>
        <v>-2314</v>
      </c>
      <c r="C14" s="6">
        <f>C66</f>
        <v>-1844</v>
      </c>
      <c r="D14" s="6">
        <f>D66</f>
        <v>-2047</v>
      </c>
      <c r="E14" s="5" t="s">
        <v>13</v>
      </c>
      <c r="F14" s="5" t="s">
        <v>14</v>
      </c>
      <c r="G14" s="5" t="s">
        <v>33</v>
      </c>
      <c r="H14" s="5"/>
    </row>
    <row r="15" spans="1:8">
      <c r="A15" s="8" t="s">
        <v>34</v>
      </c>
      <c r="B15" s="9">
        <f>SUM(B13:B14)</f>
        <v>1897</v>
      </c>
      <c r="C15" s="9">
        <f>SUM(C13:C14)</f>
        <v>1544</v>
      </c>
      <c r="D15" s="9">
        <f>SUM(D13:D14)</f>
        <v>1102</v>
      </c>
      <c r="E15" s="5" t="s">
        <v>19</v>
      </c>
      <c r="F15" s="5" t="s">
        <v>20</v>
      </c>
      <c r="G15" s="5" t="s">
        <v>35</v>
      </c>
      <c r="H15" s="5"/>
    </row>
    <row r="16" spans="1:8">
      <c r="A16" s="1" t="s">
        <v>36</v>
      </c>
      <c r="B16" s="6">
        <f>B67-B46</f>
        <v>-389</v>
      </c>
      <c r="C16" s="6">
        <f>C67-C46</f>
        <v>-284</v>
      </c>
      <c r="D16" s="6">
        <f>D67-D46</f>
        <v>-302</v>
      </c>
      <c r="E16" s="5" t="s">
        <v>19</v>
      </c>
      <c r="F16" s="5" t="s">
        <v>37</v>
      </c>
      <c r="G16" s="5" t="s">
        <v>38</v>
      </c>
      <c r="H16" s="5"/>
    </row>
    <row r="17" spans="1:8" ht="28">
      <c r="A17" s="1" t="s">
        <v>39</v>
      </c>
      <c r="B17" s="6">
        <f>-B53</f>
        <v>7</v>
      </c>
      <c r="C17" s="6">
        <f>-C53</f>
        <v>2</v>
      </c>
      <c r="D17" s="6">
        <f>-D53</f>
        <v>1</v>
      </c>
      <c r="E17" s="5" t="s">
        <v>19</v>
      </c>
      <c r="F17" s="5" t="s">
        <v>40</v>
      </c>
      <c r="G17" s="5" t="s">
        <v>41</v>
      </c>
      <c r="H17" s="5"/>
    </row>
    <row r="18" spans="1:8" ht="28">
      <c r="A18" s="10" t="s">
        <v>42</v>
      </c>
      <c r="B18" s="11">
        <f>SUM(B15:B17)</f>
        <v>1515</v>
      </c>
      <c r="C18" s="11">
        <f>SUM(C15:C17)</f>
        <v>1262</v>
      </c>
      <c r="D18" s="11">
        <f>SUM(D15:D17)</f>
        <v>801</v>
      </c>
      <c r="E18" s="12" t="s">
        <v>19</v>
      </c>
      <c r="F18" s="12" t="s">
        <v>20</v>
      </c>
      <c r="G18" s="12" t="s">
        <v>43</v>
      </c>
      <c r="H18" s="12"/>
    </row>
    <row r="19" spans="1:8" ht="28">
      <c r="A19" s="1" t="s">
        <v>44</v>
      </c>
      <c r="B19" s="6">
        <f>B69-B49-B51-B52</f>
        <v>1</v>
      </c>
      <c r="C19" s="6">
        <f>C69-C49-C51-C52</f>
        <v>-33</v>
      </c>
      <c r="D19" s="6">
        <f>D69-D49-D51-D52</f>
        <v>4</v>
      </c>
      <c r="E19" s="5" t="s">
        <v>19</v>
      </c>
      <c r="F19" s="5" t="s">
        <v>45</v>
      </c>
      <c r="G19" s="5" t="s">
        <v>46</v>
      </c>
      <c r="H19" s="5"/>
    </row>
    <row r="20" spans="1:8" ht="28">
      <c r="A20" s="1" t="s">
        <v>47</v>
      </c>
      <c r="B20" s="6">
        <f>B70-B50</f>
        <v>-22</v>
      </c>
      <c r="C20" s="6">
        <f>C70-C50</f>
        <v>-9</v>
      </c>
      <c r="D20" s="6">
        <f>D70-D50</f>
        <v>-6</v>
      </c>
      <c r="E20" s="5" t="s">
        <v>19</v>
      </c>
      <c r="F20" s="5" t="s">
        <v>48</v>
      </c>
      <c r="G20" s="5" t="s">
        <v>49</v>
      </c>
      <c r="H20" s="5"/>
    </row>
    <row r="21" spans="1:8" ht="28">
      <c r="A21" s="8" t="s">
        <v>50</v>
      </c>
      <c r="B21" s="9">
        <f>SUM(B19:B20)</f>
        <v>-21</v>
      </c>
      <c r="C21" s="9">
        <f>SUM(C19:C20)</f>
        <v>-42</v>
      </c>
      <c r="D21" s="9">
        <f>SUM(D19:D20)</f>
        <v>-2</v>
      </c>
      <c r="E21" s="5" t="s">
        <v>19</v>
      </c>
      <c r="F21" s="5" t="s">
        <v>20</v>
      </c>
      <c r="G21" s="5" t="s">
        <v>51</v>
      </c>
      <c r="H21" s="5"/>
    </row>
    <row r="22" spans="1:8">
      <c r="A22" s="10" t="s">
        <v>52</v>
      </c>
      <c r="B22" s="11">
        <f>B18+B21</f>
        <v>1494</v>
      </c>
      <c r="C22" s="11">
        <f>C18+C21</f>
        <v>1220</v>
      </c>
      <c r="D22" s="11">
        <f>D18+D21</f>
        <v>799</v>
      </c>
      <c r="E22" s="12" t="s">
        <v>19</v>
      </c>
      <c r="F22" s="12" t="s">
        <v>20</v>
      </c>
      <c r="G22" s="12" t="s">
        <v>53</v>
      </c>
      <c r="H22" s="12"/>
    </row>
    <row r="23" spans="1:8">
      <c r="A23" s="1" t="s">
        <v>54</v>
      </c>
      <c r="B23" s="6">
        <f t="shared" ref="B23:D24" si="1">B71</f>
        <v>4</v>
      </c>
      <c r="C23" s="6">
        <f t="shared" si="1"/>
        <v>14</v>
      </c>
      <c r="D23" s="6">
        <f t="shared" si="1"/>
        <v>29</v>
      </c>
      <c r="E23" s="5" t="s">
        <v>13</v>
      </c>
      <c r="F23" s="5" t="s">
        <v>14</v>
      </c>
      <c r="G23" s="5" t="s">
        <v>54</v>
      </c>
      <c r="H23" s="5"/>
    </row>
    <row r="24" spans="1:8">
      <c r="A24" s="1" t="s">
        <v>55</v>
      </c>
      <c r="B24" s="6">
        <f t="shared" si="1"/>
        <v>-116</v>
      </c>
      <c r="C24" s="6">
        <f t="shared" si="1"/>
        <v>-116</v>
      </c>
      <c r="D24" s="6">
        <f t="shared" si="1"/>
        <v>-111</v>
      </c>
      <c r="E24" s="5" t="s">
        <v>13</v>
      </c>
      <c r="F24" s="5" t="s">
        <v>14</v>
      </c>
      <c r="G24" s="5" t="s">
        <v>55</v>
      </c>
      <c r="H24" s="5"/>
    </row>
    <row r="25" spans="1:8">
      <c r="A25" s="8" t="s">
        <v>56</v>
      </c>
      <c r="B25" s="9">
        <f>SUM(B23:B24)</f>
        <v>-112</v>
      </c>
      <c r="C25" s="9">
        <f>SUM(C23:C24)</f>
        <v>-102</v>
      </c>
      <c r="D25" s="9">
        <f>SUM(D23:D24)</f>
        <v>-82</v>
      </c>
      <c r="E25" s="5" t="s">
        <v>19</v>
      </c>
      <c r="F25" s="5" t="s">
        <v>20</v>
      </c>
      <c r="G25" s="5" t="s">
        <v>57</v>
      </c>
      <c r="H25" s="5"/>
    </row>
    <row r="26" spans="1:8">
      <c r="A26" s="10" t="s">
        <v>58</v>
      </c>
      <c r="B26" s="11">
        <f>B22+B25</f>
        <v>1382</v>
      </c>
      <c r="C26" s="11">
        <f>C22+C25</f>
        <v>1118</v>
      </c>
      <c r="D26" s="11">
        <f>D22+D25</f>
        <v>717</v>
      </c>
      <c r="E26" s="12" t="s">
        <v>19</v>
      </c>
      <c r="F26" s="12" t="s">
        <v>20</v>
      </c>
      <c r="G26" s="12" t="s">
        <v>59</v>
      </c>
      <c r="H26" s="12"/>
    </row>
    <row r="27" spans="1:8">
      <c r="A27" s="1" t="s">
        <v>60</v>
      </c>
      <c r="B27" s="6">
        <f>B58</f>
        <v>-136</v>
      </c>
      <c r="C27" s="6">
        <f>C58</f>
        <v>271</v>
      </c>
      <c r="D27" s="6">
        <f>D58</f>
        <v>51</v>
      </c>
      <c r="E27" s="5" t="s">
        <v>19</v>
      </c>
      <c r="F27" s="5" t="s">
        <v>61</v>
      </c>
      <c r="G27" s="5" t="s">
        <v>62</v>
      </c>
      <c r="H27" s="5"/>
    </row>
    <row r="28" spans="1:8" ht="28">
      <c r="A28" s="8" t="s">
        <v>63</v>
      </c>
      <c r="B28" s="9">
        <f>SUM(B26:B27)</f>
        <v>1246</v>
      </c>
      <c r="C28" s="9">
        <f>SUM(C26:C27)</f>
        <v>1389</v>
      </c>
      <c r="D28" s="9">
        <f>SUM(D26:D27)</f>
        <v>768</v>
      </c>
      <c r="E28" s="5" t="s">
        <v>19</v>
      </c>
      <c r="F28" s="5" t="s">
        <v>20</v>
      </c>
      <c r="G28" s="5" t="s">
        <v>64</v>
      </c>
      <c r="H28" s="5" t="s">
        <v>65</v>
      </c>
    </row>
    <row r="29" spans="1:8" ht="42">
      <c r="A29" s="1" t="s">
        <v>66</v>
      </c>
      <c r="B29" s="6">
        <f>-B73-B54-B55</f>
        <v>-395</v>
      </c>
      <c r="C29" s="6">
        <f>-C73-C54-C55</f>
        <v>-327</v>
      </c>
      <c r="D29" s="6">
        <f>-D73-D54-D55</f>
        <v>-188</v>
      </c>
      <c r="E29" s="5" t="s">
        <v>19</v>
      </c>
      <c r="F29" s="5" t="s">
        <v>67</v>
      </c>
      <c r="G29" s="5" t="s">
        <v>68</v>
      </c>
      <c r="H29" s="5"/>
    </row>
    <row r="30" spans="1:8">
      <c r="A30" s="1" t="s">
        <v>69</v>
      </c>
      <c r="B30" s="6">
        <f t="shared" ref="B30:D31" si="2">B74</f>
        <v>-27</v>
      </c>
      <c r="C30" s="6">
        <f t="shared" si="2"/>
        <v>-14</v>
      </c>
      <c r="D30" s="6">
        <f t="shared" si="2"/>
        <v>15</v>
      </c>
      <c r="E30" s="5" t="s">
        <v>19</v>
      </c>
      <c r="F30" s="5" t="s">
        <v>70</v>
      </c>
      <c r="G30" s="5" t="s">
        <v>71</v>
      </c>
      <c r="H30" s="5"/>
    </row>
    <row r="31" spans="1:8">
      <c r="A31" s="1" t="s">
        <v>72</v>
      </c>
      <c r="B31" s="6">
        <f t="shared" si="2"/>
        <v>-38</v>
      </c>
      <c r="C31" s="6">
        <f t="shared" si="2"/>
        <v>-47</v>
      </c>
      <c r="D31" s="6">
        <f t="shared" si="2"/>
        <v>2</v>
      </c>
      <c r="E31" s="5" t="s">
        <v>19</v>
      </c>
      <c r="F31" s="5" t="s">
        <v>73</v>
      </c>
      <c r="G31" s="5" t="s">
        <v>74</v>
      </c>
      <c r="H31" s="5"/>
    </row>
    <row r="32" spans="1:8" ht="28">
      <c r="A32" s="8" t="s">
        <v>75</v>
      </c>
      <c r="B32" s="9">
        <f>SUM(B29:B31)</f>
        <v>-460</v>
      </c>
      <c r="C32" s="9">
        <f>SUM(C29:C31)</f>
        <v>-388</v>
      </c>
      <c r="D32" s="9">
        <f>SUM(D29:D31)</f>
        <v>-171</v>
      </c>
      <c r="E32" s="5" t="s">
        <v>19</v>
      </c>
      <c r="F32" s="5" t="s">
        <v>20</v>
      </c>
      <c r="G32" s="5" t="s">
        <v>76</v>
      </c>
      <c r="H32" s="5"/>
    </row>
    <row r="33" spans="1:8" ht="28">
      <c r="A33" s="1" t="s">
        <v>77</v>
      </c>
      <c r="B33" s="6">
        <f>B76-(B28+B32)</f>
        <v>0</v>
      </c>
      <c r="C33" s="6">
        <f>C76-(C28+C32)</f>
        <v>-2</v>
      </c>
      <c r="D33" s="6">
        <f>D76-(D28+D32)</f>
        <v>0</v>
      </c>
      <c r="E33" s="5" t="s">
        <v>19</v>
      </c>
      <c r="F33" s="5" t="s">
        <v>20</v>
      </c>
      <c r="G33" s="5" t="s">
        <v>78</v>
      </c>
      <c r="H33" s="5" t="s">
        <v>79</v>
      </c>
    </row>
    <row r="34" spans="1:8">
      <c r="A34" s="10" t="s">
        <v>80</v>
      </c>
      <c r="B34" s="11">
        <f>B28+B32+B33</f>
        <v>786</v>
      </c>
      <c r="C34" s="11">
        <f>C28+C32+C33</f>
        <v>999</v>
      </c>
      <c r="D34" s="11">
        <f>D28+D32+D33</f>
        <v>597</v>
      </c>
      <c r="E34" s="12" t="s">
        <v>19</v>
      </c>
      <c r="F34" s="12" t="s">
        <v>81</v>
      </c>
      <c r="G34" s="12" t="s">
        <v>82</v>
      </c>
      <c r="H34" s="12"/>
    </row>
    <row r="35" spans="1:8">
      <c r="A35" s="1" t="s">
        <v>83</v>
      </c>
      <c r="B35" s="6">
        <f t="shared" ref="B35:D36" si="3">B77</f>
        <v>150</v>
      </c>
      <c r="C35" s="6">
        <f t="shared" si="3"/>
        <v>98</v>
      </c>
      <c r="D35" s="6">
        <f t="shared" si="3"/>
        <v>39</v>
      </c>
      <c r="E35" s="5" t="s">
        <v>13</v>
      </c>
      <c r="F35" s="5" t="s">
        <v>84</v>
      </c>
      <c r="G35" s="5" t="s">
        <v>85</v>
      </c>
      <c r="H35" s="5"/>
    </row>
    <row r="36" spans="1:8">
      <c r="A36" s="1" t="s">
        <v>86</v>
      </c>
      <c r="B36" s="6">
        <f t="shared" si="3"/>
        <v>636</v>
      </c>
      <c r="C36" s="6">
        <f t="shared" si="3"/>
        <v>901</v>
      </c>
      <c r="D36" s="6">
        <f t="shared" si="3"/>
        <v>558</v>
      </c>
      <c r="E36" s="5" t="s">
        <v>13</v>
      </c>
      <c r="F36" s="5" t="s">
        <v>84</v>
      </c>
      <c r="G36" s="5" t="s">
        <v>87</v>
      </c>
      <c r="H36" s="5"/>
    </row>
    <row r="37" spans="1:8">
      <c r="A37" s="1"/>
      <c r="B37" s="4"/>
      <c r="C37" s="4"/>
      <c r="D37" s="4"/>
      <c r="E37" s="5"/>
      <c r="F37" s="5"/>
      <c r="G37" s="5"/>
      <c r="H37" s="5"/>
    </row>
    <row r="38" spans="1:8">
      <c r="A38" s="1"/>
      <c r="B38" s="4"/>
      <c r="C38" s="4"/>
      <c r="D38" s="4"/>
      <c r="E38" s="5"/>
      <c r="F38" s="5"/>
      <c r="G38" s="5"/>
      <c r="H38" s="5"/>
    </row>
    <row r="39" spans="1:8">
      <c r="A39" s="1"/>
      <c r="B39" s="4"/>
      <c r="C39" s="4"/>
      <c r="D39" s="4"/>
      <c r="E39" s="5"/>
      <c r="F39" s="5"/>
      <c r="G39" s="5"/>
      <c r="H39" s="5"/>
    </row>
    <row r="40" spans="1:8" ht="20" customHeight="1">
      <c r="A40" s="78" t="s">
        <v>88</v>
      </c>
      <c r="B40" s="79"/>
      <c r="C40" s="79"/>
      <c r="D40" s="79"/>
      <c r="E40" s="80"/>
      <c r="F40" s="80"/>
      <c r="G40" s="80"/>
      <c r="H40" s="80"/>
    </row>
    <row r="41" spans="1:8" ht="30" customHeight="1">
      <c r="A41" s="2" t="s">
        <v>89</v>
      </c>
      <c r="B41" s="3" t="s">
        <v>5</v>
      </c>
      <c r="C41" s="3" t="s">
        <v>6</v>
      </c>
      <c r="D41" s="18" t="s">
        <v>7</v>
      </c>
      <c r="E41" s="2" t="s">
        <v>90</v>
      </c>
      <c r="F41" s="2" t="s">
        <v>91</v>
      </c>
      <c r="G41" s="2" t="s">
        <v>92</v>
      </c>
      <c r="H41" s="2" t="s">
        <v>9</v>
      </c>
    </row>
    <row r="42" spans="1:8" ht="28">
      <c r="A42" s="5" t="s">
        <v>93</v>
      </c>
      <c r="B42" s="7">
        <v>118</v>
      </c>
      <c r="C42" s="7">
        <v>21</v>
      </c>
      <c r="D42" s="7">
        <v>5</v>
      </c>
      <c r="E42" s="5" t="s">
        <v>94</v>
      </c>
      <c r="F42" s="5" t="s">
        <v>95</v>
      </c>
      <c r="G42" s="5" t="s">
        <v>96</v>
      </c>
      <c r="H42" s="5" t="s">
        <v>97</v>
      </c>
    </row>
    <row r="43" spans="1:8" ht="28">
      <c r="A43" s="5" t="s">
        <v>98</v>
      </c>
      <c r="B43" s="7">
        <v>44</v>
      </c>
      <c r="C43" s="7">
        <v>55</v>
      </c>
      <c r="D43" s="7">
        <v>53</v>
      </c>
      <c r="E43" s="5" t="s">
        <v>94</v>
      </c>
      <c r="F43" s="5" t="s">
        <v>95</v>
      </c>
      <c r="G43" s="5" t="s">
        <v>99</v>
      </c>
      <c r="H43" s="5" t="s">
        <v>97</v>
      </c>
    </row>
    <row r="44" spans="1:8" ht="28">
      <c r="A44" s="5" t="s">
        <v>100</v>
      </c>
      <c r="B44" s="7">
        <v>1</v>
      </c>
      <c r="C44" s="7">
        <v>2</v>
      </c>
      <c r="D44" s="7">
        <v>0</v>
      </c>
      <c r="E44" s="5" t="s">
        <v>94</v>
      </c>
      <c r="F44" s="5" t="s">
        <v>95</v>
      </c>
      <c r="G44" s="5" t="s">
        <v>101</v>
      </c>
      <c r="H44" s="5" t="s">
        <v>97</v>
      </c>
    </row>
    <row r="45" spans="1:8" ht="28">
      <c r="A45" s="5" t="s">
        <v>102</v>
      </c>
      <c r="B45" s="7">
        <v>-9</v>
      </c>
      <c r="C45" s="7">
        <v>-21</v>
      </c>
      <c r="D45" s="7">
        <v>-8</v>
      </c>
      <c r="E45" s="5" t="s">
        <v>94</v>
      </c>
      <c r="F45" s="5" t="s">
        <v>103</v>
      </c>
      <c r="G45" s="5" t="s">
        <v>104</v>
      </c>
      <c r="H45" s="5" t="s">
        <v>105</v>
      </c>
    </row>
    <row r="46" spans="1:8" ht="28">
      <c r="A46" s="5" t="s">
        <v>106</v>
      </c>
      <c r="B46" s="7">
        <v>-17</v>
      </c>
      <c r="C46" s="7">
        <v>0</v>
      </c>
      <c r="D46" s="7">
        <v>-6</v>
      </c>
      <c r="E46" s="5" t="s">
        <v>94</v>
      </c>
      <c r="F46" s="5" t="s">
        <v>107</v>
      </c>
      <c r="G46" s="5" t="s">
        <v>108</v>
      </c>
      <c r="H46" s="5" t="s">
        <v>109</v>
      </c>
    </row>
    <row r="47" spans="1:8" ht="28">
      <c r="A47" s="5" t="s">
        <v>110</v>
      </c>
      <c r="B47" s="7">
        <v>0</v>
      </c>
      <c r="C47" s="7">
        <v>2</v>
      </c>
      <c r="D47" s="7">
        <v>2</v>
      </c>
      <c r="E47" s="5" t="s">
        <v>94</v>
      </c>
      <c r="F47" s="5" t="s">
        <v>95</v>
      </c>
      <c r="G47" s="5" t="s">
        <v>111</v>
      </c>
      <c r="H47" s="5" t="s">
        <v>97</v>
      </c>
    </row>
    <row r="48" spans="1:8">
      <c r="A48" s="5" t="s">
        <v>112</v>
      </c>
      <c r="B48" s="7">
        <v>0</v>
      </c>
      <c r="C48" s="7">
        <v>-6</v>
      </c>
      <c r="D48" s="7">
        <v>0</v>
      </c>
      <c r="E48" s="5" t="s">
        <v>94</v>
      </c>
      <c r="F48" s="5" t="s">
        <v>103</v>
      </c>
      <c r="G48" s="5" t="s">
        <v>113</v>
      </c>
      <c r="H48" s="5" t="s">
        <v>114</v>
      </c>
    </row>
    <row r="49" spans="1:8">
      <c r="A49" s="5" t="s">
        <v>115</v>
      </c>
      <c r="B49" s="7">
        <v>46</v>
      </c>
      <c r="C49" s="7">
        <v>0</v>
      </c>
      <c r="D49" s="7">
        <v>0</v>
      </c>
      <c r="E49" s="5" t="s">
        <v>94</v>
      </c>
      <c r="F49" s="5" t="s">
        <v>116</v>
      </c>
      <c r="G49" s="5" t="s">
        <v>117</v>
      </c>
      <c r="H49" s="5" t="s">
        <v>118</v>
      </c>
    </row>
    <row r="50" spans="1:8">
      <c r="A50" s="5" t="s">
        <v>119</v>
      </c>
      <c r="B50" s="7">
        <v>15</v>
      </c>
      <c r="C50" s="7">
        <v>0</v>
      </c>
      <c r="D50" s="7">
        <v>0</v>
      </c>
      <c r="E50" s="5" t="s">
        <v>94</v>
      </c>
      <c r="F50" s="5" t="s">
        <v>120</v>
      </c>
      <c r="G50" s="5" t="s">
        <v>121</v>
      </c>
      <c r="H50" s="5" t="s">
        <v>122</v>
      </c>
    </row>
    <row r="51" spans="1:8">
      <c r="A51" s="5" t="s">
        <v>123</v>
      </c>
      <c r="B51" s="7">
        <v>0</v>
      </c>
      <c r="C51" s="7">
        <v>0</v>
      </c>
      <c r="D51" s="7">
        <v>31</v>
      </c>
      <c r="E51" s="5" t="s">
        <v>94</v>
      </c>
      <c r="F51" s="5" t="s">
        <v>116</v>
      </c>
      <c r="G51" s="5" t="s">
        <v>117</v>
      </c>
      <c r="H51" s="5" t="s">
        <v>124</v>
      </c>
    </row>
    <row r="52" spans="1:8">
      <c r="A52" s="5" t="s">
        <v>125</v>
      </c>
      <c r="B52" s="7">
        <v>0</v>
      </c>
      <c r="C52" s="7">
        <v>0</v>
      </c>
      <c r="D52" s="7">
        <v>22</v>
      </c>
      <c r="E52" s="5" t="s">
        <v>94</v>
      </c>
      <c r="F52" s="5" t="s">
        <v>116</v>
      </c>
      <c r="G52" s="5" t="s">
        <v>126</v>
      </c>
      <c r="H52" s="5" t="s">
        <v>124</v>
      </c>
    </row>
    <row r="53" spans="1:8">
      <c r="A53" s="5" t="s">
        <v>127</v>
      </c>
      <c r="B53" s="7">
        <v>-7</v>
      </c>
      <c r="C53" s="7">
        <v>-2</v>
      </c>
      <c r="D53" s="7">
        <v>-1</v>
      </c>
      <c r="E53" s="5" t="s">
        <v>94</v>
      </c>
      <c r="F53" s="5" t="s">
        <v>128</v>
      </c>
      <c r="G53" s="5" t="s">
        <v>129</v>
      </c>
      <c r="H53" s="5" t="s">
        <v>130</v>
      </c>
    </row>
    <row r="54" spans="1:8" ht="42">
      <c r="A54" s="5" t="s">
        <v>131</v>
      </c>
      <c r="B54" s="7">
        <v>-11</v>
      </c>
      <c r="C54" s="7">
        <v>-1</v>
      </c>
      <c r="D54" s="7">
        <v>3</v>
      </c>
      <c r="E54" s="5" t="s">
        <v>132</v>
      </c>
      <c r="F54" s="5" t="s">
        <v>133</v>
      </c>
      <c r="G54" s="5" t="s">
        <v>134</v>
      </c>
      <c r="H54" s="5" t="s">
        <v>135</v>
      </c>
    </row>
    <row r="55" spans="1:8">
      <c r="A55" s="5" t="s">
        <v>136</v>
      </c>
      <c r="B55" s="7">
        <v>10</v>
      </c>
      <c r="C55" s="7">
        <v>0</v>
      </c>
      <c r="D55" s="7">
        <v>0</v>
      </c>
      <c r="E55" s="5" t="s">
        <v>132</v>
      </c>
      <c r="F55" s="5" t="s">
        <v>137</v>
      </c>
      <c r="G55" s="5" t="s">
        <v>138</v>
      </c>
      <c r="H55" s="5" t="s">
        <v>139</v>
      </c>
    </row>
    <row r="56" spans="1:8" ht="28">
      <c r="A56" s="5" t="s">
        <v>140</v>
      </c>
      <c r="B56" s="7">
        <v>-315</v>
      </c>
      <c r="C56" s="7">
        <v>-17</v>
      </c>
      <c r="D56" s="7">
        <v>-59</v>
      </c>
      <c r="E56" s="5" t="s">
        <v>94</v>
      </c>
      <c r="F56" s="5" t="s">
        <v>141</v>
      </c>
      <c r="G56" s="5" t="s">
        <v>142</v>
      </c>
      <c r="H56" s="5" t="s">
        <v>143</v>
      </c>
    </row>
    <row r="57" spans="1:8" ht="28">
      <c r="A57" s="5" t="s">
        <v>144</v>
      </c>
      <c r="B57" s="7">
        <v>-11</v>
      </c>
      <c r="C57" s="7">
        <v>238</v>
      </c>
      <c r="D57" s="7">
        <v>9</v>
      </c>
      <c r="E57" s="5" t="s">
        <v>145</v>
      </c>
      <c r="F57" s="5" t="s">
        <v>146</v>
      </c>
      <c r="G57" s="5" t="s">
        <v>147</v>
      </c>
      <c r="H57" s="5" t="s">
        <v>148</v>
      </c>
    </row>
    <row r="58" spans="1:8">
      <c r="A58" s="13" t="s">
        <v>149</v>
      </c>
      <c r="B58" s="14">
        <f>SUM(B42:B57)</f>
        <v>-136</v>
      </c>
      <c r="C58" s="14">
        <f>SUM(C42:C57)</f>
        <v>271</v>
      </c>
      <c r="D58" s="14">
        <f>SUM(D42:D57)</f>
        <v>51</v>
      </c>
      <c r="E58" s="15" t="s">
        <v>150</v>
      </c>
      <c r="F58" s="15"/>
      <c r="G58" s="15" t="s">
        <v>151</v>
      </c>
      <c r="H58" s="15"/>
    </row>
    <row r="59" spans="1:8">
      <c r="A59" s="1"/>
      <c r="B59" s="4"/>
      <c r="C59" s="4"/>
      <c r="D59" s="4"/>
      <c r="E59" s="5"/>
      <c r="F59" s="5"/>
      <c r="G59" s="5"/>
      <c r="H59" s="5"/>
    </row>
    <row r="60" spans="1:8" ht="20" customHeight="1">
      <c r="A60" s="78" t="s">
        <v>152</v>
      </c>
      <c r="B60" s="79"/>
      <c r="C60" s="79"/>
      <c r="D60" s="79"/>
      <c r="E60" s="80"/>
      <c r="F60" s="80"/>
      <c r="G60" s="80"/>
      <c r="H60" s="80"/>
    </row>
    <row r="61" spans="1:8" ht="30" customHeight="1">
      <c r="A61" s="2" t="s">
        <v>153</v>
      </c>
      <c r="B61" s="3" t="s">
        <v>5</v>
      </c>
      <c r="C61" s="3" t="s">
        <v>6</v>
      </c>
      <c r="D61" s="18" t="s">
        <v>7</v>
      </c>
      <c r="E61" s="2" t="s">
        <v>8</v>
      </c>
      <c r="F61" s="2" t="s">
        <v>9</v>
      </c>
      <c r="G61" s="2" t="s">
        <v>154</v>
      </c>
      <c r="H61" s="2" t="s">
        <v>11</v>
      </c>
    </row>
    <row r="62" spans="1:8">
      <c r="A62" s="16" t="s">
        <v>12</v>
      </c>
      <c r="B62" s="7">
        <v>9935</v>
      </c>
      <c r="C62" s="7">
        <v>7715</v>
      </c>
      <c r="D62" s="7">
        <v>7176</v>
      </c>
      <c r="E62" s="17" t="s">
        <v>13</v>
      </c>
      <c r="F62" s="17" t="s">
        <v>155</v>
      </c>
      <c r="G62" s="17" t="s">
        <v>156</v>
      </c>
      <c r="H62" s="17"/>
    </row>
    <row r="63" spans="1:8">
      <c r="A63" s="16" t="s">
        <v>16</v>
      </c>
      <c r="B63" s="7">
        <v>521</v>
      </c>
      <c r="C63" s="7">
        <v>132</v>
      </c>
      <c r="D63" s="7">
        <v>696</v>
      </c>
      <c r="E63" s="17" t="s">
        <v>13</v>
      </c>
      <c r="F63" s="17" t="s">
        <v>155</v>
      </c>
      <c r="G63" s="17" t="s">
        <v>156</v>
      </c>
      <c r="H63" s="17"/>
    </row>
    <row r="64" spans="1:8">
      <c r="A64" s="16" t="s">
        <v>95</v>
      </c>
      <c r="B64" s="7">
        <v>273</v>
      </c>
      <c r="C64" s="7">
        <v>178</v>
      </c>
      <c r="D64" s="7">
        <v>153</v>
      </c>
      <c r="E64" s="17" t="s">
        <v>13</v>
      </c>
      <c r="F64" s="17" t="s">
        <v>97</v>
      </c>
      <c r="G64" s="17" t="s">
        <v>157</v>
      </c>
      <c r="H64" s="17"/>
    </row>
    <row r="65" spans="1:8">
      <c r="A65" s="16" t="s">
        <v>22</v>
      </c>
      <c r="B65" s="7">
        <v>-5252</v>
      </c>
      <c r="C65" s="7">
        <v>-3693</v>
      </c>
      <c r="D65" s="7">
        <v>-3935</v>
      </c>
      <c r="E65" s="17" t="s">
        <v>13</v>
      </c>
      <c r="F65" s="17" t="s">
        <v>158</v>
      </c>
      <c r="G65" s="17" t="s">
        <v>156</v>
      </c>
      <c r="H65" s="17"/>
    </row>
    <row r="66" spans="1:8">
      <c r="A66" s="16" t="s">
        <v>32</v>
      </c>
      <c r="B66" s="7">
        <v>-2314</v>
      </c>
      <c r="C66" s="7">
        <v>-1844</v>
      </c>
      <c r="D66" s="7">
        <v>-2047</v>
      </c>
      <c r="E66" s="17" t="s">
        <v>13</v>
      </c>
      <c r="F66" s="17" t="s">
        <v>159</v>
      </c>
      <c r="G66" s="17" t="s">
        <v>156</v>
      </c>
      <c r="H66" s="17"/>
    </row>
    <row r="67" spans="1:8">
      <c r="A67" s="16" t="s">
        <v>160</v>
      </c>
      <c r="B67" s="7">
        <v>-406</v>
      </c>
      <c r="C67" s="7">
        <v>-284</v>
      </c>
      <c r="D67" s="7">
        <v>-308</v>
      </c>
      <c r="E67" s="17" t="s">
        <v>13</v>
      </c>
      <c r="F67" s="17" t="s">
        <v>161</v>
      </c>
      <c r="G67" s="17" t="s">
        <v>162</v>
      </c>
      <c r="H67" s="17"/>
    </row>
    <row r="68" spans="1:8">
      <c r="A68" s="16" t="s">
        <v>103</v>
      </c>
      <c r="B68" s="7">
        <v>-1112</v>
      </c>
      <c r="C68" s="7">
        <v>-891</v>
      </c>
      <c r="D68" s="7">
        <v>-889</v>
      </c>
      <c r="E68" s="17" t="s">
        <v>13</v>
      </c>
      <c r="F68" s="17" t="s">
        <v>163</v>
      </c>
      <c r="G68" s="17" t="s">
        <v>164</v>
      </c>
      <c r="H68" s="17"/>
    </row>
    <row r="69" spans="1:8">
      <c r="A69" s="16" t="s">
        <v>165</v>
      </c>
      <c r="B69" s="7">
        <v>47</v>
      </c>
      <c r="C69" s="7">
        <v>-33</v>
      </c>
      <c r="D69" s="7">
        <v>57</v>
      </c>
      <c r="E69" s="17" t="s">
        <v>13</v>
      </c>
      <c r="F69" s="17" t="s">
        <v>166</v>
      </c>
      <c r="G69" s="17" t="s">
        <v>167</v>
      </c>
      <c r="H69" s="17"/>
    </row>
    <row r="70" spans="1:8">
      <c r="A70" s="16" t="s">
        <v>120</v>
      </c>
      <c r="B70" s="7">
        <v>-7</v>
      </c>
      <c r="C70" s="7">
        <v>-9</v>
      </c>
      <c r="D70" s="7">
        <v>-6</v>
      </c>
      <c r="E70" s="17" t="s">
        <v>13</v>
      </c>
      <c r="F70" s="17" t="s">
        <v>155</v>
      </c>
      <c r="G70" s="17" t="s">
        <v>167</v>
      </c>
      <c r="H70" s="17"/>
    </row>
    <row r="71" spans="1:8">
      <c r="A71" s="16" t="s">
        <v>54</v>
      </c>
      <c r="B71" s="7">
        <v>4</v>
      </c>
      <c r="C71" s="7">
        <v>14</v>
      </c>
      <c r="D71" s="7">
        <v>29</v>
      </c>
      <c r="E71" s="17" t="s">
        <v>13</v>
      </c>
      <c r="F71" s="17" t="s">
        <v>155</v>
      </c>
      <c r="G71" s="17" t="s">
        <v>56</v>
      </c>
      <c r="H71" s="17"/>
    </row>
    <row r="72" spans="1:8">
      <c r="A72" s="16" t="s">
        <v>55</v>
      </c>
      <c r="B72" s="7">
        <v>-116</v>
      </c>
      <c r="C72" s="7">
        <v>-116</v>
      </c>
      <c r="D72" s="7">
        <v>-111</v>
      </c>
      <c r="E72" s="17" t="s">
        <v>13</v>
      </c>
      <c r="F72" s="17" t="s">
        <v>155</v>
      </c>
      <c r="G72" s="17" t="s">
        <v>56</v>
      </c>
      <c r="H72" s="17"/>
    </row>
    <row r="73" spans="1:8">
      <c r="A73" s="16" t="s">
        <v>168</v>
      </c>
      <c r="B73" s="7">
        <v>396</v>
      </c>
      <c r="C73" s="7">
        <v>328</v>
      </c>
      <c r="D73" s="7">
        <v>185</v>
      </c>
      <c r="E73" s="17" t="s">
        <v>13</v>
      </c>
      <c r="F73" s="17" t="s">
        <v>169</v>
      </c>
      <c r="G73" s="17" t="s">
        <v>170</v>
      </c>
      <c r="H73" s="17"/>
    </row>
    <row r="74" spans="1:8">
      <c r="A74" s="16" t="s">
        <v>171</v>
      </c>
      <c r="B74" s="7">
        <v>-27</v>
      </c>
      <c r="C74" s="7">
        <v>-14</v>
      </c>
      <c r="D74" s="7">
        <v>15</v>
      </c>
      <c r="E74" s="17" t="s">
        <v>19</v>
      </c>
      <c r="F74" s="17" t="s">
        <v>143</v>
      </c>
      <c r="G74" s="17" t="s">
        <v>170</v>
      </c>
      <c r="H74" s="17" t="s">
        <v>172</v>
      </c>
    </row>
    <row r="75" spans="1:8">
      <c r="A75" s="16" t="s">
        <v>173</v>
      </c>
      <c r="B75" s="7">
        <v>-38</v>
      </c>
      <c r="C75" s="7">
        <v>-47</v>
      </c>
      <c r="D75" s="7">
        <v>2</v>
      </c>
      <c r="E75" s="17" t="s">
        <v>19</v>
      </c>
      <c r="F75" s="17" t="s">
        <v>148</v>
      </c>
      <c r="G75" s="17" t="s">
        <v>170</v>
      </c>
      <c r="H75" s="17"/>
    </row>
    <row r="76" spans="1:8">
      <c r="A76" s="16" t="s">
        <v>80</v>
      </c>
      <c r="B76" s="7">
        <v>786</v>
      </c>
      <c r="C76" s="7">
        <v>999</v>
      </c>
      <c r="D76" s="7">
        <v>597</v>
      </c>
      <c r="E76" s="17" t="s">
        <v>13</v>
      </c>
      <c r="F76" s="17" t="s">
        <v>155</v>
      </c>
      <c r="G76" s="17" t="s">
        <v>174</v>
      </c>
      <c r="H76" s="17"/>
    </row>
    <row r="77" spans="1:8">
      <c r="A77" s="16" t="s">
        <v>175</v>
      </c>
      <c r="B77" s="7">
        <v>150</v>
      </c>
      <c r="C77" s="7">
        <v>98</v>
      </c>
      <c r="D77" s="7">
        <v>39</v>
      </c>
      <c r="E77" s="17" t="s">
        <v>13</v>
      </c>
      <c r="F77" s="17" t="s">
        <v>155</v>
      </c>
      <c r="G77" s="17" t="s">
        <v>176</v>
      </c>
      <c r="H77" s="17"/>
    </row>
    <row r="78" spans="1:8">
      <c r="A78" s="16" t="s">
        <v>177</v>
      </c>
      <c r="B78" s="7">
        <v>636</v>
      </c>
      <c r="C78" s="7">
        <v>901</v>
      </c>
      <c r="D78" s="7">
        <v>558</v>
      </c>
      <c r="E78" s="17" t="s">
        <v>13</v>
      </c>
      <c r="F78" s="17" t="s">
        <v>155</v>
      </c>
      <c r="G78" s="17" t="s">
        <v>176</v>
      </c>
      <c r="H78" s="17"/>
    </row>
    <row r="79" spans="1:8">
      <c r="A79" s="16" t="s">
        <v>178</v>
      </c>
      <c r="B79" s="7">
        <v>1572</v>
      </c>
      <c r="C79" s="7">
        <v>1168</v>
      </c>
      <c r="D79" s="7">
        <v>815</v>
      </c>
      <c r="E79" s="17" t="s">
        <v>13</v>
      </c>
      <c r="F79" s="17" t="s">
        <v>155</v>
      </c>
      <c r="G79" s="17" t="s">
        <v>179</v>
      </c>
      <c r="H79" s="17"/>
    </row>
    <row r="80" spans="1:8">
      <c r="A80" s="16" t="s">
        <v>180</v>
      </c>
      <c r="B80" s="7">
        <v>835</v>
      </c>
      <c r="C80" s="7">
        <v>808</v>
      </c>
      <c r="D80" s="7">
        <v>586</v>
      </c>
      <c r="E80" s="17" t="s">
        <v>13</v>
      </c>
      <c r="F80" s="17" t="s">
        <v>155</v>
      </c>
      <c r="G80" s="17" t="s">
        <v>179</v>
      </c>
      <c r="H80" s="17"/>
    </row>
    <row r="81" spans="1:8">
      <c r="A81" s="1"/>
      <c r="B81" s="1"/>
      <c r="C81" s="1"/>
      <c r="D81" s="1"/>
      <c r="E81" s="5"/>
      <c r="F81" s="5"/>
      <c r="G81" s="5"/>
      <c r="H81" s="5"/>
    </row>
    <row r="82" spans="1:8" ht="20" customHeight="1">
      <c r="A82" s="78" t="s">
        <v>181</v>
      </c>
      <c r="B82" s="78"/>
      <c r="C82" s="78"/>
      <c r="D82" s="78"/>
      <c r="E82" s="80"/>
      <c r="F82" s="80"/>
      <c r="G82" s="80"/>
      <c r="H82" s="80"/>
    </row>
    <row r="83" spans="1:8" ht="28" customHeight="1">
      <c r="A83" s="81" t="s">
        <v>182</v>
      </c>
      <c r="B83" s="81"/>
      <c r="C83" s="81"/>
      <c r="D83" s="81"/>
      <c r="E83" s="81"/>
      <c r="F83" s="81"/>
      <c r="G83" s="81"/>
      <c r="H83" s="81"/>
    </row>
    <row r="84" spans="1:8" ht="28" customHeight="1">
      <c r="A84" s="81"/>
      <c r="B84" s="81"/>
      <c r="C84" s="81"/>
      <c r="D84" s="81"/>
      <c r="E84" s="81"/>
      <c r="F84" s="81"/>
      <c r="G84" s="81"/>
      <c r="H84" s="81"/>
    </row>
  </sheetData>
  <mergeCells count="8">
    <mergeCell ref="A60:H60"/>
    <mergeCell ref="A82:H82"/>
    <mergeCell ref="A83:H84"/>
    <mergeCell ref="A1:H1"/>
    <mergeCell ref="A2:H2"/>
    <mergeCell ref="A3:H3"/>
    <mergeCell ref="A5:H5"/>
    <mergeCell ref="A40:H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workbookViewId="0"/>
  </sheetViews>
  <sheetFormatPr baseColWidth="10" defaultColWidth="8.83203125" defaultRowHeight="14"/>
  <cols>
    <col min="1" max="1" width="43" customWidth="1"/>
    <col min="2" max="4" width="16" customWidth="1"/>
    <col min="5" max="5" width="22" customWidth="1"/>
    <col min="6" max="6" width="44" customWidth="1"/>
    <col min="7" max="7" width="48" customWidth="1"/>
  </cols>
  <sheetData>
    <row r="1" spans="1:7" ht="34.75" customHeight="1">
      <c r="A1" s="82" t="s">
        <v>183</v>
      </c>
      <c r="B1" s="82"/>
      <c r="C1" s="82"/>
      <c r="D1" s="82"/>
      <c r="E1" s="82"/>
      <c r="F1" s="82"/>
      <c r="G1" s="82"/>
    </row>
    <row r="2" spans="1:7" ht="24" customHeight="1">
      <c r="A2" s="83" t="s">
        <v>184</v>
      </c>
      <c r="B2" s="83"/>
      <c r="C2" s="83"/>
      <c r="D2" s="83"/>
      <c r="E2" s="83"/>
      <c r="F2" s="83"/>
      <c r="G2" s="83"/>
    </row>
    <row r="3" spans="1:7" ht="56" customHeight="1">
      <c r="A3" s="83" t="s">
        <v>185</v>
      </c>
      <c r="B3" s="83"/>
      <c r="C3" s="83"/>
      <c r="D3" s="83"/>
      <c r="E3" s="83"/>
      <c r="F3" s="83"/>
      <c r="G3" s="83"/>
    </row>
    <row r="5" spans="1:7">
      <c r="A5" s="84" t="s">
        <v>186</v>
      </c>
      <c r="B5" s="84"/>
      <c r="C5" s="84"/>
      <c r="D5" s="84"/>
      <c r="E5" s="84"/>
      <c r="F5" s="84"/>
      <c r="G5" s="84"/>
    </row>
    <row r="6" spans="1:7" ht="42.75" customHeight="1">
      <c r="A6" s="19" t="s">
        <v>187</v>
      </c>
      <c r="B6" s="19" t="s">
        <v>5</v>
      </c>
      <c r="C6" s="19" t="s">
        <v>188</v>
      </c>
      <c r="D6" s="19" t="s">
        <v>189</v>
      </c>
      <c r="E6" s="19" t="s">
        <v>8</v>
      </c>
      <c r="F6" s="19" t="s">
        <v>190</v>
      </c>
      <c r="G6" s="19" t="s">
        <v>191</v>
      </c>
    </row>
    <row r="7" spans="1:7" ht="20" customHeight="1">
      <c r="A7" s="20" t="s">
        <v>192</v>
      </c>
      <c r="B7" s="20"/>
      <c r="C7" s="20"/>
      <c r="D7" s="20"/>
      <c r="E7" s="20"/>
      <c r="F7" s="20"/>
      <c r="G7" s="20"/>
    </row>
    <row r="8" spans="1:7" ht="20" customHeight="1">
      <c r="A8" s="22" t="s">
        <v>193</v>
      </c>
      <c r="B8" s="27">
        <v>4721</v>
      </c>
      <c r="C8" s="27">
        <v>3989</v>
      </c>
      <c r="D8" s="27">
        <v>3244</v>
      </c>
      <c r="E8" s="23" t="s">
        <v>194</v>
      </c>
      <c r="F8" s="23" t="s">
        <v>195</v>
      </c>
      <c r="G8" s="23" t="s">
        <v>196</v>
      </c>
    </row>
    <row r="9" spans="1:7" ht="20" customHeight="1">
      <c r="A9" s="22" t="s">
        <v>197</v>
      </c>
      <c r="B9" s="27">
        <v>957</v>
      </c>
      <c r="C9" s="27">
        <v>692</v>
      </c>
      <c r="D9" s="27">
        <v>516</v>
      </c>
      <c r="E9" s="23" t="s">
        <v>194</v>
      </c>
      <c r="F9" s="23" t="s">
        <v>198</v>
      </c>
      <c r="G9" s="23" t="s">
        <v>199</v>
      </c>
    </row>
    <row r="10" spans="1:7" ht="20" customHeight="1">
      <c r="A10" s="22" t="s">
        <v>200</v>
      </c>
      <c r="B10" s="27">
        <v>1907</v>
      </c>
      <c r="C10" s="27">
        <v>1959</v>
      </c>
      <c r="D10" s="27">
        <v>2021</v>
      </c>
      <c r="E10" s="23" t="s">
        <v>194</v>
      </c>
      <c r="F10" s="23" t="s">
        <v>198</v>
      </c>
      <c r="G10" s="23" t="s">
        <v>201</v>
      </c>
    </row>
    <row r="11" spans="1:7" ht="20" customHeight="1">
      <c r="A11" s="22" t="s">
        <v>202</v>
      </c>
      <c r="B11" s="27">
        <v>122</v>
      </c>
      <c r="C11" s="27">
        <v>139</v>
      </c>
      <c r="D11" s="27">
        <v>93</v>
      </c>
      <c r="E11" s="23" t="s">
        <v>19</v>
      </c>
      <c r="F11" s="23" t="s">
        <v>203</v>
      </c>
      <c r="G11" s="23" t="s">
        <v>204</v>
      </c>
    </row>
    <row r="12" spans="1:7" ht="20" customHeight="1">
      <c r="A12" s="22" t="s">
        <v>205</v>
      </c>
      <c r="B12" s="27">
        <v>76</v>
      </c>
      <c r="C12" s="27">
        <v>44</v>
      </c>
      <c r="D12" s="27">
        <v>41</v>
      </c>
      <c r="E12" s="23" t="s">
        <v>19</v>
      </c>
      <c r="F12" s="23" t="s">
        <v>203</v>
      </c>
      <c r="G12" s="23" t="s">
        <v>204</v>
      </c>
    </row>
    <row r="13" spans="1:7" ht="20" customHeight="1">
      <c r="A13" s="22" t="s">
        <v>206</v>
      </c>
      <c r="B13" s="27">
        <v>78</v>
      </c>
      <c r="C13" s="27">
        <v>80</v>
      </c>
      <c r="D13" s="27">
        <v>67</v>
      </c>
      <c r="E13" s="23" t="s">
        <v>19</v>
      </c>
      <c r="F13" s="23" t="s">
        <v>203</v>
      </c>
      <c r="G13" s="23" t="s">
        <v>207</v>
      </c>
    </row>
    <row r="14" spans="1:7" ht="28.75" customHeight="1">
      <c r="A14" s="22" t="s">
        <v>208</v>
      </c>
      <c r="B14" s="27">
        <v>59</v>
      </c>
      <c r="C14" s="27">
        <v>80</v>
      </c>
      <c r="D14" s="27">
        <v>60</v>
      </c>
      <c r="E14" s="23" t="s">
        <v>19</v>
      </c>
      <c r="F14" s="23" t="s">
        <v>203</v>
      </c>
      <c r="G14" s="23" t="s">
        <v>209</v>
      </c>
    </row>
    <row r="15" spans="1:7" ht="28.75" customHeight="1">
      <c r="A15" s="22" t="s">
        <v>210</v>
      </c>
      <c r="B15" s="27">
        <v>80</v>
      </c>
      <c r="C15" s="27">
        <v>41</v>
      </c>
      <c r="D15" s="27">
        <v>25</v>
      </c>
      <c r="E15" s="23" t="s">
        <v>194</v>
      </c>
      <c r="F15" s="23" t="s">
        <v>211</v>
      </c>
      <c r="G15" s="23" t="s">
        <v>212</v>
      </c>
    </row>
    <row r="16" spans="1:7" ht="20" customHeight="1">
      <c r="A16" s="29" t="s">
        <v>213</v>
      </c>
      <c r="B16" s="30">
        <f>SUM(B8:B15)</f>
        <v>8000</v>
      </c>
      <c r="C16" s="30">
        <f>SUM(C8:C15)</f>
        <v>7024</v>
      </c>
      <c r="D16" s="30">
        <f>SUM(D8:D15)</f>
        <v>6067</v>
      </c>
      <c r="E16" s="31" t="s">
        <v>13</v>
      </c>
      <c r="F16" s="31" t="s">
        <v>214</v>
      </c>
      <c r="G16" s="31" t="s">
        <v>215</v>
      </c>
    </row>
    <row r="17" spans="1:7" ht="20" customHeight="1">
      <c r="A17" s="22"/>
      <c r="B17" s="25"/>
      <c r="C17" s="25"/>
      <c r="D17" s="25"/>
      <c r="E17" s="23"/>
      <c r="F17" s="23"/>
      <c r="G17" s="23"/>
    </row>
    <row r="18" spans="1:7" ht="20" customHeight="1">
      <c r="A18" s="21" t="s">
        <v>216</v>
      </c>
      <c r="B18" s="26"/>
      <c r="C18" s="26"/>
      <c r="D18" s="26"/>
      <c r="E18" s="24"/>
      <c r="F18" s="24"/>
      <c r="G18" s="24"/>
    </row>
    <row r="19" spans="1:7" ht="20" customHeight="1">
      <c r="A19" s="22" t="s">
        <v>217</v>
      </c>
      <c r="B19" s="27">
        <v>5642</v>
      </c>
      <c r="C19" s="27">
        <v>3866</v>
      </c>
      <c r="D19" s="27">
        <v>2594</v>
      </c>
      <c r="E19" s="23" t="s">
        <v>194</v>
      </c>
      <c r="F19" s="23" t="s">
        <v>198</v>
      </c>
      <c r="G19" s="23" t="s">
        <v>218</v>
      </c>
    </row>
    <row r="20" spans="1:7" ht="20" customHeight="1">
      <c r="A20" s="22" t="s">
        <v>219</v>
      </c>
      <c r="B20" s="27">
        <v>1186</v>
      </c>
      <c r="C20" s="27">
        <v>1151</v>
      </c>
      <c r="D20" s="27">
        <v>1222</v>
      </c>
      <c r="E20" s="23" t="s">
        <v>194</v>
      </c>
      <c r="F20" s="23" t="s">
        <v>198</v>
      </c>
      <c r="G20" s="23" t="s">
        <v>218</v>
      </c>
    </row>
    <row r="21" spans="1:7" ht="20" customHeight="1">
      <c r="A21" s="22" t="s">
        <v>220</v>
      </c>
      <c r="B21" s="27">
        <v>891</v>
      </c>
      <c r="C21" s="27">
        <v>807</v>
      </c>
      <c r="D21" s="27">
        <v>690</v>
      </c>
      <c r="E21" s="23" t="s">
        <v>194</v>
      </c>
      <c r="F21" s="23" t="s">
        <v>221</v>
      </c>
      <c r="G21" s="23" t="s">
        <v>222</v>
      </c>
    </row>
    <row r="22" spans="1:7" ht="20" customHeight="1">
      <c r="A22" s="22" t="s">
        <v>223</v>
      </c>
      <c r="B22" s="27">
        <v>278</v>
      </c>
      <c r="C22" s="27">
        <v>527</v>
      </c>
      <c r="D22" s="27">
        <v>562</v>
      </c>
      <c r="E22" s="23" t="s">
        <v>19</v>
      </c>
      <c r="F22" s="23" t="s">
        <v>198</v>
      </c>
      <c r="G22" s="23" t="s">
        <v>224</v>
      </c>
    </row>
    <row r="23" spans="1:7" ht="20" customHeight="1">
      <c r="A23" s="22" t="s">
        <v>225</v>
      </c>
      <c r="B23" s="27">
        <v>-289</v>
      </c>
      <c r="C23" s="27">
        <v>-275</v>
      </c>
      <c r="D23" s="27">
        <v>-99</v>
      </c>
      <c r="E23" s="23" t="s">
        <v>19</v>
      </c>
      <c r="F23" s="23" t="s">
        <v>203</v>
      </c>
      <c r="G23" s="23" t="s">
        <v>226</v>
      </c>
    </row>
    <row r="24" spans="1:7" ht="32" customHeight="1">
      <c r="A24" s="29" t="s">
        <v>227</v>
      </c>
      <c r="B24" s="30">
        <f>B22+B23</f>
        <v>-11</v>
      </c>
      <c r="C24" s="30">
        <f>C22+C23</f>
        <v>252</v>
      </c>
      <c r="D24" s="30">
        <f>D22+D23</f>
        <v>463</v>
      </c>
      <c r="E24" s="31" t="s">
        <v>13</v>
      </c>
      <c r="F24" s="31" t="s">
        <v>228</v>
      </c>
      <c r="G24" s="31" t="s">
        <v>229</v>
      </c>
    </row>
    <row r="25" spans="1:7" ht="20" customHeight="1">
      <c r="A25" s="22" t="s">
        <v>230</v>
      </c>
      <c r="B25" s="27">
        <v>280</v>
      </c>
      <c r="C25" s="27">
        <v>285</v>
      </c>
      <c r="D25" s="27">
        <v>230</v>
      </c>
      <c r="E25" s="23" t="s">
        <v>194</v>
      </c>
      <c r="F25" s="23" t="s">
        <v>221</v>
      </c>
      <c r="G25" s="23" t="s">
        <v>231</v>
      </c>
    </row>
    <row r="26" spans="1:7" ht="20" customHeight="1">
      <c r="A26" s="22" t="s">
        <v>232</v>
      </c>
      <c r="B26" s="27">
        <v>11</v>
      </c>
      <c r="C26" s="27">
        <v>14</v>
      </c>
      <c r="D26" s="27">
        <v>14</v>
      </c>
      <c r="E26" s="23" t="s">
        <v>19</v>
      </c>
      <c r="F26" s="23" t="s">
        <v>233</v>
      </c>
      <c r="G26" s="23" t="s">
        <v>234</v>
      </c>
    </row>
    <row r="27" spans="1:7" ht="20" customHeight="1">
      <c r="A27" s="22" t="s">
        <v>235</v>
      </c>
      <c r="B27" s="27">
        <v>89</v>
      </c>
      <c r="C27" s="27">
        <v>130</v>
      </c>
      <c r="D27" s="27">
        <v>77</v>
      </c>
      <c r="E27" s="23" t="s">
        <v>19</v>
      </c>
      <c r="F27" s="23" t="s">
        <v>233</v>
      </c>
      <c r="G27" s="23" t="s">
        <v>236</v>
      </c>
    </row>
    <row r="28" spans="1:7" ht="28.75" customHeight="1">
      <c r="A28" s="22" t="s">
        <v>237</v>
      </c>
      <c r="B28" s="27">
        <v>20</v>
      </c>
      <c r="C28" s="27">
        <v>22</v>
      </c>
      <c r="D28" s="27">
        <v>24</v>
      </c>
      <c r="E28" s="23" t="s">
        <v>194</v>
      </c>
      <c r="F28" s="23" t="s">
        <v>238</v>
      </c>
      <c r="G28" s="23" t="s">
        <v>239</v>
      </c>
    </row>
    <row r="29" spans="1:7" ht="32" customHeight="1">
      <c r="A29" s="29" t="s">
        <v>240</v>
      </c>
      <c r="B29" s="30">
        <f>SUM(B19:B21)+B24+SUM(B25:B28)</f>
        <v>8108</v>
      </c>
      <c r="C29" s="30">
        <f>SUM(C19:C21)+C24+SUM(C25:C28)</f>
        <v>6527</v>
      </c>
      <c r="D29" s="30">
        <f>SUM(D19:D21)+D24+SUM(D25:D28)</f>
        <v>5314</v>
      </c>
      <c r="E29" s="31" t="s">
        <v>13</v>
      </c>
      <c r="F29" s="31" t="s">
        <v>241</v>
      </c>
      <c r="G29" s="31" t="s">
        <v>242</v>
      </c>
    </row>
    <row r="30" spans="1:7" ht="20" customHeight="1">
      <c r="A30" s="32" t="s">
        <v>243</v>
      </c>
      <c r="B30" s="33">
        <f>B16-B29</f>
        <v>-108</v>
      </c>
      <c r="C30" s="33">
        <f>C16-C29</f>
        <v>497</v>
      </c>
      <c r="D30" s="33">
        <f>D16-D29</f>
        <v>753</v>
      </c>
      <c r="E30" s="34" t="s">
        <v>13</v>
      </c>
      <c r="F30" s="34" t="s">
        <v>244</v>
      </c>
      <c r="G30" s="34" t="s">
        <v>245</v>
      </c>
    </row>
    <row r="31" spans="1:7" ht="20" customHeight="1">
      <c r="A31" s="22"/>
      <c r="B31" s="25"/>
      <c r="C31" s="25"/>
      <c r="D31" s="25"/>
      <c r="E31" s="23"/>
      <c r="F31" s="23"/>
      <c r="G31" s="23"/>
    </row>
    <row r="32" spans="1:7" ht="20" customHeight="1">
      <c r="A32" s="21" t="s">
        <v>246</v>
      </c>
      <c r="B32" s="26"/>
      <c r="C32" s="26"/>
      <c r="D32" s="26"/>
      <c r="E32" s="24"/>
      <c r="F32" s="24"/>
      <c r="G32" s="24"/>
    </row>
    <row r="33" spans="1:7" ht="20" customHeight="1">
      <c r="A33" s="22" t="s">
        <v>247</v>
      </c>
      <c r="B33" s="27">
        <v>1354</v>
      </c>
      <c r="C33" s="27">
        <v>1426</v>
      </c>
      <c r="D33" s="27">
        <v>1125</v>
      </c>
      <c r="E33" s="23" t="s">
        <v>194</v>
      </c>
      <c r="F33" s="23" t="s">
        <v>198</v>
      </c>
      <c r="G33" s="23" t="s">
        <v>248</v>
      </c>
    </row>
    <row r="34" spans="1:7" ht="20" customHeight="1">
      <c r="A34" s="22" t="s">
        <v>249</v>
      </c>
      <c r="B34" s="27">
        <v>1244</v>
      </c>
      <c r="C34" s="27">
        <v>1376</v>
      </c>
      <c r="D34" s="27">
        <v>952</v>
      </c>
      <c r="E34" s="23" t="s">
        <v>194</v>
      </c>
      <c r="F34" s="23" t="s">
        <v>198</v>
      </c>
      <c r="G34" s="23" t="s">
        <v>248</v>
      </c>
    </row>
    <row r="35" spans="1:7" ht="20" customHeight="1">
      <c r="A35" s="22" t="s">
        <v>250</v>
      </c>
      <c r="B35" s="27">
        <v>338</v>
      </c>
      <c r="C35" s="27">
        <v>334</v>
      </c>
      <c r="D35" s="27">
        <v>271</v>
      </c>
      <c r="E35" s="23" t="s">
        <v>194</v>
      </c>
      <c r="F35" s="23" t="s">
        <v>198</v>
      </c>
      <c r="G35" s="23" t="s">
        <v>248</v>
      </c>
    </row>
    <row r="36" spans="1:7" ht="20" customHeight="1">
      <c r="A36" s="22" t="s">
        <v>251</v>
      </c>
      <c r="B36" s="27">
        <v>1962</v>
      </c>
      <c r="C36" s="27">
        <v>1853</v>
      </c>
      <c r="D36" s="27">
        <v>1370</v>
      </c>
      <c r="E36" s="23" t="s">
        <v>194</v>
      </c>
      <c r="F36" s="23" t="s">
        <v>198</v>
      </c>
      <c r="G36" s="23" t="s">
        <v>248</v>
      </c>
    </row>
    <row r="37" spans="1:7" ht="20" customHeight="1">
      <c r="A37" s="22" t="s">
        <v>252</v>
      </c>
      <c r="B37" s="27">
        <v>2</v>
      </c>
      <c r="C37" s="27">
        <v>20</v>
      </c>
      <c r="D37" s="27">
        <v>22</v>
      </c>
      <c r="E37" s="23" t="s">
        <v>194</v>
      </c>
      <c r="F37" s="23" t="s">
        <v>198</v>
      </c>
      <c r="G37" s="23" t="s">
        <v>253</v>
      </c>
    </row>
    <row r="38" spans="1:7" ht="20" customHeight="1">
      <c r="A38" s="29" t="s">
        <v>254</v>
      </c>
      <c r="B38" s="30">
        <f>SUM(B33:B37)</f>
        <v>4900</v>
      </c>
      <c r="C38" s="30">
        <f>SUM(C33:C37)</f>
        <v>5009</v>
      </c>
      <c r="D38" s="30">
        <f>SUM(D33:D37)</f>
        <v>3740</v>
      </c>
      <c r="E38" s="31" t="s">
        <v>13</v>
      </c>
      <c r="F38" s="31" t="s">
        <v>255</v>
      </c>
      <c r="G38" s="31" t="s">
        <v>256</v>
      </c>
    </row>
    <row r="39" spans="1:7" ht="20" customHeight="1">
      <c r="A39" s="29" t="s">
        <v>257</v>
      </c>
      <c r="B39" s="30">
        <f>B16+B38</f>
        <v>12900</v>
      </c>
      <c r="C39" s="30">
        <f>C16+C38</f>
        <v>12033</v>
      </c>
      <c r="D39" s="30">
        <f>D16+D38</f>
        <v>9807</v>
      </c>
      <c r="E39" s="31" t="s">
        <v>13</v>
      </c>
      <c r="F39" s="31" t="s">
        <v>258</v>
      </c>
      <c r="G39" s="31" t="s">
        <v>259</v>
      </c>
    </row>
    <row r="40" spans="1:7" ht="20" customHeight="1">
      <c r="A40" s="32" t="s">
        <v>260</v>
      </c>
      <c r="B40" s="33">
        <f>B39-B29</f>
        <v>4792</v>
      </c>
      <c r="C40" s="33">
        <f>C39-C29</f>
        <v>5506</v>
      </c>
      <c r="D40" s="33">
        <f>D39-D29</f>
        <v>4493</v>
      </c>
      <c r="E40" s="34" t="s">
        <v>13</v>
      </c>
      <c r="F40" s="34" t="s">
        <v>261</v>
      </c>
      <c r="G40" s="34" t="s">
        <v>262</v>
      </c>
    </row>
    <row r="41" spans="1:7" ht="20" customHeight="1">
      <c r="A41" s="22"/>
      <c r="B41" s="25"/>
      <c r="C41" s="25"/>
      <c r="D41" s="25"/>
      <c r="E41" s="23"/>
      <c r="F41" s="23"/>
      <c r="G41" s="23"/>
    </row>
    <row r="42" spans="1:7" ht="20" customHeight="1">
      <c r="A42" s="21" t="s">
        <v>263</v>
      </c>
      <c r="B42" s="26"/>
      <c r="C42" s="26"/>
      <c r="D42" s="26"/>
      <c r="E42" s="24"/>
      <c r="F42" s="24"/>
      <c r="G42" s="24"/>
    </row>
    <row r="43" spans="1:7" ht="20" customHeight="1">
      <c r="A43" s="22" t="s">
        <v>264</v>
      </c>
      <c r="B43" s="27">
        <v>213</v>
      </c>
      <c r="C43" s="27">
        <v>346</v>
      </c>
      <c r="D43" s="27">
        <v>373</v>
      </c>
      <c r="E43" s="23" t="s">
        <v>194</v>
      </c>
      <c r="F43" s="23" t="s">
        <v>198</v>
      </c>
      <c r="G43" s="23" t="s">
        <v>265</v>
      </c>
    </row>
    <row r="44" spans="1:7" ht="57.5" customHeight="1">
      <c r="A44" s="22" t="s">
        <v>266</v>
      </c>
      <c r="B44" s="28">
        <f>B71-B72</f>
        <v>562</v>
      </c>
      <c r="C44" s="28">
        <f>C71-C72</f>
        <v>0</v>
      </c>
      <c r="D44" s="28">
        <f>D71-D72</f>
        <v>35</v>
      </c>
      <c r="E44" s="23" t="s">
        <v>13</v>
      </c>
      <c r="F44" s="23" t="s">
        <v>267</v>
      </c>
      <c r="G44" s="23" t="s">
        <v>268</v>
      </c>
    </row>
    <row r="45" spans="1:7" ht="43.25" customHeight="1">
      <c r="A45" s="22" t="s">
        <v>269</v>
      </c>
      <c r="B45" s="27">
        <v>45</v>
      </c>
      <c r="C45" s="27">
        <v>81</v>
      </c>
      <c r="D45" s="27">
        <v>46</v>
      </c>
      <c r="E45" s="23" t="s">
        <v>13</v>
      </c>
      <c r="F45" s="23" t="s">
        <v>270</v>
      </c>
      <c r="G45" s="23" t="s">
        <v>271</v>
      </c>
    </row>
    <row r="46" spans="1:7" ht="32" customHeight="1">
      <c r="A46" s="29" t="s">
        <v>272</v>
      </c>
      <c r="B46" s="30">
        <f>SUM(B43:B45)</f>
        <v>820</v>
      </c>
      <c r="C46" s="30">
        <f>SUM(C43:C45)</f>
        <v>427</v>
      </c>
      <c r="D46" s="30">
        <f>SUM(D43:D45)</f>
        <v>454</v>
      </c>
      <c r="E46" s="31" t="s">
        <v>13</v>
      </c>
      <c r="F46" s="31" t="s">
        <v>273</v>
      </c>
      <c r="G46" s="31" t="s">
        <v>274</v>
      </c>
    </row>
    <row r="47" spans="1:7" ht="20" customHeight="1">
      <c r="A47" s="29" t="s">
        <v>275</v>
      </c>
      <c r="B47" s="30">
        <f>B39+B46</f>
        <v>13720</v>
      </c>
      <c r="C47" s="30">
        <f>C39+C46</f>
        <v>12460</v>
      </c>
      <c r="D47" s="30">
        <f>D39+D46</f>
        <v>10261</v>
      </c>
      <c r="E47" s="31" t="s">
        <v>19</v>
      </c>
      <c r="F47" s="31" t="s">
        <v>276</v>
      </c>
      <c r="G47" s="31" t="s">
        <v>277</v>
      </c>
    </row>
    <row r="48" spans="1:7" ht="32" customHeight="1">
      <c r="A48" s="32" t="s">
        <v>278</v>
      </c>
      <c r="B48" s="33">
        <f>B40+B46</f>
        <v>5612</v>
      </c>
      <c r="C48" s="33">
        <f>C40+C46</f>
        <v>5933</v>
      </c>
      <c r="D48" s="33">
        <f>D40+D46</f>
        <v>4947</v>
      </c>
      <c r="E48" s="34" t="s">
        <v>13</v>
      </c>
      <c r="F48" s="34" t="s">
        <v>279</v>
      </c>
      <c r="G48" s="34" t="s">
        <v>280</v>
      </c>
    </row>
    <row r="49" spans="1:7" ht="20" customHeight="1">
      <c r="A49" s="22"/>
      <c r="B49" s="25"/>
      <c r="C49" s="25"/>
      <c r="D49" s="25"/>
      <c r="E49" s="23"/>
      <c r="F49" s="23"/>
      <c r="G49" s="23"/>
    </row>
    <row r="50" spans="1:7" ht="20" customHeight="1">
      <c r="A50" s="21" t="s">
        <v>281</v>
      </c>
      <c r="B50" s="26"/>
      <c r="C50" s="26"/>
      <c r="D50" s="26"/>
      <c r="E50" s="24"/>
      <c r="F50" s="24"/>
      <c r="G50" s="24"/>
    </row>
    <row r="51" spans="1:7" ht="20" customHeight="1">
      <c r="A51" s="22" t="s">
        <v>282</v>
      </c>
      <c r="B51" s="27">
        <v>1281</v>
      </c>
      <c r="C51" s="27">
        <v>2423</v>
      </c>
      <c r="D51" s="27">
        <v>1913</v>
      </c>
      <c r="E51" s="23" t="s">
        <v>194</v>
      </c>
      <c r="F51" s="23" t="s">
        <v>283</v>
      </c>
      <c r="G51" s="23" t="s">
        <v>284</v>
      </c>
    </row>
    <row r="52" spans="1:7" ht="28.75" customHeight="1">
      <c r="A52" s="22" t="s">
        <v>285</v>
      </c>
      <c r="B52" s="27">
        <v>23</v>
      </c>
      <c r="C52" s="27">
        <v>77</v>
      </c>
      <c r="D52" s="27">
        <v>97</v>
      </c>
      <c r="E52" s="23" t="s">
        <v>13</v>
      </c>
      <c r="F52" s="23" t="s">
        <v>233</v>
      </c>
      <c r="G52" s="23" t="s">
        <v>286</v>
      </c>
    </row>
    <row r="53" spans="1:7" ht="20" customHeight="1">
      <c r="A53" s="22" t="s">
        <v>287</v>
      </c>
      <c r="B53" s="27">
        <v>-1650</v>
      </c>
      <c r="C53" s="27">
        <v>-1184</v>
      </c>
      <c r="D53" s="27">
        <v>-850</v>
      </c>
      <c r="E53" s="23" t="s">
        <v>194</v>
      </c>
      <c r="F53" s="23" t="s">
        <v>198</v>
      </c>
      <c r="G53" s="23" t="s">
        <v>288</v>
      </c>
    </row>
    <row r="54" spans="1:7" ht="28.75" customHeight="1">
      <c r="A54" s="22" t="s">
        <v>289</v>
      </c>
      <c r="B54" s="27">
        <v>-41</v>
      </c>
      <c r="C54" s="27">
        <v>-81</v>
      </c>
      <c r="D54" s="27">
        <v>-77</v>
      </c>
      <c r="E54" s="23" t="s">
        <v>13</v>
      </c>
      <c r="F54" s="23" t="s">
        <v>290</v>
      </c>
      <c r="G54" s="23" t="s">
        <v>291</v>
      </c>
    </row>
    <row r="55" spans="1:7" ht="32" customHeight="1">
      <c r="A55" s="29" t="s">
        <v>292</v>
      </c>
      <c r="B55" s="30">
        <f>SUM(B51:B54)</f>
        <v>-387</v>
      </c>
      <c r="C55" s="30">
        <f>SUM(C51:C54)</f>
        <v>1235</v>
      </c>
      <c r="D55" s="30">
        <f>SUM(D51:D54)</f>
        <v>1083</v>
      </c>
      <c r="E55" s="31" t="s">
        <v>13</v>
      </c>
      <c r="F55" s="31" t="s">
        <v>293</v>
      </c>
      <c r="G55" s="31" t="s">
        <v>294</v>
      </c>
    </row>
    <row r="56" spans="1:7" ht="20" customHeight="1">
      <c r="A56" s="22" t="s">
        <v>295</v>
      </c>
      <c r="B56" s="27">
        <v>363</v>
      </c>
      <c r="C56" s="27">
        <v>356</v>
      </c>
      <c r="D56" s="27">
        <v>260</v>
      </c>
      <c r="E56" s="23" t="s">
        <v>19</v>
      </c>
      <c r="F56" s="23" t="s">
        <v>198</v>
      </c>
      <c r="G56" s="23" t="s">
        <v>296</v>
      </c>
    </row>
    <row r="57" spans="1:7" ht="20" customHeight="1">
      <c r="A57" s="22" t="s">
        <v>297</v>
      </c>
      <c r="B57" s="27">
        <v>200</v>
      </c>
      <c r="C57" s="27">
        <v>118</v>
      </c>
      <c r="D57" s="27">
        <v>108</v>
      </c>
      <c r="E57" s="23" t="s">
        <v>19</v>
      </c>
      <c r="F57" s="23" t="s">
        <v>198</v>
      </c>
      <c r="G57" s="23" t="s">
        <v>296</v>
      </c>
    </row>
    <row r="58" spans="1:7" ht="20" customHeight="1">
      <c r="A58" s="22" t="s">
        <v>298</v>
      </c>
      <c r="B58" s="27">
        <v>184</v>
      </c>
      <c r="C58" s="27">
        <v>102</v>
      </c>
      <c r="D58" s="27">
        <v>113</v>
      </c>
      <c r="E58" s="23" t="s">
        <v>19</v>
      </c>
      <c r="F58" s="23" t="s">
        <v>233</v>
      </c>
      <c r="G58" s="23" t="s">
        <v>296</v>
      </c>
    </row>
    <row r="59" spans="1:7" ht="20" customHeight="1">
      <c r="A59" s="29" t="s">
        <v>299</v>
      </c>
      <c r="B59" s="30">
        <f>SUM(B56:B58)</f>
        <v>747</v>
      </c>
      <c r="C59" s="30">
        <f>SUM(C56:C58)</f>
        <v>576</v>
      </c>
      <c r="D59" s="30">
        <f>SUM(D56:D58)</f>
        <v>481</v>
      </c>
      <c r="E59" s="31" t="s">
        <v>19</v>
      </c>
      <c r="F59" s="31" t="s">
        <v>300</v>
      </c>
      <c r="G59" s="31" t="s">
        <v>296</v>
      </c>
    </row>
    <row r="60" spans="1:7" ht="20" customHeight="1">
      <c r="A60" s="22" t="s">
        <v>301</v>
      </c>
      <c r="B60" s="27">
        <v>-165</v>
      </c>
      <c r="C60" s="27">
        <v>-172</v>
      </c>
      <c r="D60" s="27">
        <v>-164</v>
      </c>
      <c r="E60" s="23" t="s">
        <v>19</v>
      </c>
      <c r="F60" s="23" t="s">
        <v>198</v>
      </c>
      <c r="G60" s="23" t="s">
        <v>296</v>
      </c>
    </row>
    <row r="61" spans="1:7" ht="20" customHeight="1">
      <c r="A61" s="22" t="s">
        <v>302</v>
      </c>
      <c r="B61" s="27">
        <v>-11</v>
      </c>
      <c r="C61" s="27">
        <v>-57</v>
      </c>
      <c r="D61" s="27">
        <v>-13</v>
      </c>
      <c r="E61" s="23" t="s">
        <v>19</v>
      </c>
      <c r="F61" s="23" t="s">
        <v>198</v>
      </c>
      <c r="G61" s="23" t="s">
        <v>296</v>
      </c>
    </row>
    <row r="62" spans="1:7" ht="20" customHeight="1">
      <c r="A62" s="22" t="s">
        <v>303</v>
      </c>
      <c r="B62" s="27">
        <v>-186</v>
      </c>
      <c r="C62" s="27">
        <v>-114</v>
      </c>
      <c r="D62" s="27">
        <v>-83</v>
      </c>
      <c r="E62" s="23" t="s">
        <v>19</v>
      </c>
      <c r="F62" s="23" t="s">
        <v>203</v>
      </c>
      <c r="G62" s="23" t="s">
        <v>296</v>
      </c>
    </row>
    <row r="63" spans="1:7" ht="20" customHeight="1">
      <c r="A63" s="29" t="s">
        <v>304</v>
      </c>
      <c r="B63" s="30">
        <f>SUM(B59:B62)</f>
        <v>385</v>
      </c>
      <c r="C63" s="30">
        <f>SUM(C59:C62)</f>
        <v>233</v>
      </c>
      <c r="D63" s="30">
        <f>SUM(D59:D62)</f>
        <v>221</v>
      </c>
      <c r="E63" s="31" t="s">
        <v>13</v>
      </c>
      <c r="F63" s="31" t="s">
        <v>305</v>
      </c>
      <c r="G63" s="31" t="s">
        <v>306</v>
      </c>
    </row>
    <row r="64" spans="1:7" ht="28.75" customHeight="1">
      <c r="A64" s="22" t="s">
        <v>307</v>
      </c>
      <c r="B64" s="27">
        <v>0</v>
      </c>
      <c r="C64" s="27">
        <v>0</v>
      </c>
      <c r="D64" s="27">
        <v>0</v>
      </c>
      <c r="E64" s="23" t="s">
        <v>19</v>
      </c>
      <c r="F64" s="23" t="s">
        <v>308</v>
      </c>
      <c r="G64" s="23" t="s">
        <v>309</v>
      </c>
    </row>
    <row r="65" spans="1:7" ht="20" customHeight="1">
      <c r="A65" s="22" t="s">
        <v>310</v>
      </c>
      <c r="B65" s="27">
        <v>5614</v>
      </c>
      <c r="C65" s="27">
        <v>4465</v>
      </c>
      <c r="D65" s="27">
        <v>3643</v>
      </c>
      <c r="E65" s="23" t="s">
        <v>194</v>
      </c>
      <c r="F65" s="23" t="s">
        <v>198</v>
      </c>
      <c r="G65" s="23" t="s">
        <v>311</v>
      </c>
    </row>
    <row r="66" spans="1:7" ht="32" customHeight="1">
      <c r="A66" s="29" t="s">
        <v>312</v>
      </c>
      <c r="B66" s="30">
        <f>B55+B63+B64+B65</f>
        <v>5612</v>
      </c>
      <c r="C66" s="30">
        <f>C55+C63+C64+C65</f>
        <v>5933</v>
      </c>
      <c r="D66" s="30">
        <f>D55+D63+D64+D65</f>
        <v>4947</v>
      </c>
      <c r="E66" s="31" t="s">
        <v>13</v>
      </c>
      <c r="F66" s="31" t="s">
        <v>313</v>
      </c>
      <c r="G66" s="31" t="s">
        <v>314</v>
      </c>
    </row>
    <row r="67" spans="1:7" ht="20" customHeight="1">
      <c r="A67" s="32" t="s">
        <v>315</v>
      </c>
      <c r="B67" s="33">
        <f>B48-B66</f>
        <v>0</v>
      </c>
      <c r="C67" s="33">
        <f>C48-C66</f>
        <v>0</v>
      </c>
      <c r="D67" s="33">
        <f>D48-D66</f>
        <v>0</v>
      </c>
      <c r="E67" s="34" t="s">
        <v>19</v>
      </c>
      <c r="F67" s="34" t="s">
        <v>316</v>
      </c>
      <c r="G67" s="34" t="s">
        <v>317</v>
      </c>
    </row>
    <row r="68" spans="1:7" ht="20" customHeight="1">
      <c r="A68" s="22"/>
      <c r="B68" s="25"/>
      <c r="C68" s="25"/>
      <c r="D68" s="25"/>
      <c r="E68" s="23"/>
      <c r="F68" s="23"/>
      <c r="G68" s="23"/>
    </row>
    <row r="69" spans="1:7" ht="20" customHeight="1">
      <c r="A69" s="21" t="s">
        <v>318</v>
      </c>
      <c r="B69" s="26"/>
      <c r="C69" s="26"/>
      <c r="D69" s="26"/>
      <c r="E69" s="24"/>
      <c r="F69" s="24"/>
      <c r="G69" s="24"/>
    </row>
    <row r="70" spans="1:7" ht="20" customHeight="1">
      <c r="A70" s="22" t="s">
        <v>319</v>
      </c>
      <c r="B70" s="27">
        <v>16772</v>
      </c>
      <c r="C70" s="27">
        <v>14344</v>
      </c>
      <c r="D70" s="27">
        <v>11707</v>
      </c>
      <c r="E70" s="23" t="s">
        <v>194</v>
      </c>
      <c r="F70" s="23" t="s">
        <v>198</v>
      </c>
      <c r="G70" s="23" t="s">
        <v>320</v>
      </c>
    </row>
    <row r="71" spans="1:7" ht="20" customHeight="1">
      <c r="A71" s="22" t="s">
        <v>321</v>
      </c>
      <c r="B71" s="27">
        <v>1270</v>
      </c>
      <c r="C71" s="27">
        <v>0</v>
      </c>
      <c r="D71" s="27">
        <v>196</v>
      </c>
      <c r="E71" s="23" t="s">
        <v>19</v>
      </c>
      <c r="F71" s="23" t="s">
        <v>322</v>
      </c>
      <c r="G71" s="23" t="s">
        <v>323</v>
      </c>
    </row>
    <row r="72" spans="1:7" ht="20" customHeight="1">
      <c r="A72" s="22" t="s">
        <v>324</v>
      </c>
      <c r="B72" s="27">
        <v>708</v>
      </c>
      <c r="C72" s="27">
        <v>0</v>
      </c>
      <c r="D72" s="27">
        <v>161</v>
      </c>
      <c r="E72" s="23" t="s">
        <v>19</v>
      </c>
      <c r="F72" s="23" t="s">
        <v>322</v>
      </c>
      <c r="G72" s="23" t="s">
        <v>323</v>
      </c>
    </row>
  </sheetData>
  <mergeCells count="4">
    <mergeCell ref="A1:G1"/>
    <mergeCell ref="A2:G2"/>
    <mergeCell ref="A3:G3"/>
    <mergeCell ref="A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0"/>
  <sheetViews>
    <sheetView workbookViewId="0"/>
  </sheetViews>
  <sheetFormatPr baseColWidth="10" defaultColWidth="8.83203125" defaultRowHeight="14"/>
  <cols>
    <col min="1" max="1" width="48" customWidth="1"/>
    <col min="2" max="4" width="15" customWidth="1"/>
    <col min="5" max="5" width="16" customWidth="1"/>
    <col min="6" max="6" width="36" customWidth="1"/>
    <col min="7" max="7" width="38" customWidth="1"/>
  </cols>
  <sheetData>
    <row r="1" spans="1:7" ht="32" customHeight="1">
      <c r="A1" s="85" t="s">
        <v>325</v>
      </c>
      <c r="B1" s="86"/>
      <c r="C1" s="86"/>
      <c r="D1" s="86"/>
      <c r="E1" s="85"/>
      <c r="F1" s="85"/>
      <c r="G1" s="85"/>
    </row>
    <row r="2" spans="1:7" ht="24" customHeight="1">
      <c r="A2" s="87" t="s">
        <v>326</v>
      </c>
      <c r="B2" s="88"/>
      <c r="C2" s="88"/>
      <c r="D2" s="88"/>
      <c r="E2" s="87"/>
      <c r="F2" s="87"/>
      <c r="G2" s="87"/>
    </row>
    <row r="3" spans="1:7" ht="58.75" customHeight="1">
      <c r="A3" s="87" t="s">
        <v>327</v>
      </c>
      <c r="B3" s="88"/>
      <c r="C3" s="88"/>
      <c r="D3" s="88"/>
      <c r="E3" s="87"/>
      <c r="F3" s="87"/>
      <c r="G3" s="87"/>
    </row>
    <row r="4" spans="1:7" ht="24" customHeight="1">
      <c r="A4" s="38"/>
      <c r="B4" s="39"/>
      <c r="C4" s="39"/>
      <c r="D4" s="39"/>
      <c r="E4" s="38"/>
      <c r="F4" s="38"/>
      <c r="G4" s="38"/>
    </row>
    <row r="5" spans="1:7" ht="26.75" customHeight="1">
      <c r="A5" s="89" t="s">
        <v>328</v>
      </c>
      <c r="B5" s="90"/>
      <c r="C5" s="90"/>
      <c r="D5" s="90"/>
      <c r="E5" s="89"/>
      <c r="F5" s="89"/>
      <c r="G5" s="89"/>
    </row>
    <row r="6" spans="1:7" ht="37.25" customHeight="1">
      <c r="A6" s="35" t="s">
        <v>329</v>
      </c>
      <c r="B6" s="36" t="s">
        <v>330</v>
      </c>
      <c r="C6" s="36" t="s">
        <v>331</v>
      </c>
      <c r="D6" s="36" t="s">
        <v>332</v>
      </c>
      <c r="E6" s="35" t="s">
        <v>8</v>
      </c>
      <c r="F6" s="35" t="s">
        <v>190</v>
      </c>
      <c r="G6" s="35" t="s">
        <v>11</v>
      </c>
    </row>
    <row r="7" spans="1:7" ht="24" customHeight="1">
      <c r="A7" s="38" t="s">
        <v>333</v>
      </c>
      <c r="B7" s="40">
        <f>'Reformulated IS'!B80/'Managerial BS'!B65</f>
        <v>0.14873530459565373</v>
      </c>
      <c r="C7" s="40">
        <f>'Reformulated IS'!C80/'Managerial BS'!C65</f>
        <v>0.18096304591265397</v>
      </c>
      <c r="D7" s="40">
        <f>'Reformulated IS'!D80/'Managerial BS'!D65</f>
        <v>0.16085643700247049</v>
      </c>
      <c r="E7" s="38" t="s">
        <v>19</v>
      </c>
      <c r="F7" s="38" t="s">
        <v>334</v>
      </c>
      <c r="G7" s="38" t="s">
        <v>335</v>
      </c>
    </row>
    <row r="8" spans="1:7" ht="24" customHeight="1">
      <c r="A8" s="41" t="s">
        <v>336</v>
      </c>
      <c r="B8" s="42">
        <f>'Reformulated IS'!B34/'Managerial BS'!B65</f>
        <v>0.14000712504453153</v>
      </c>
      <c r="C8" s="42">
        <f>'Reformulated IS'!C34/'Managerial BS'!C65</f>
        <v>0.22374020156774915</v>
      </c>
      <c r="D8" s="42">
        <f>'Reformulated IS'!D34/'Managerial BS'!D65</f>
        <v>0.16387592643425747</v>
      </c>
      <c r="E8" s="41" t="s">
        <v>19</v>
      </c>
      <c r="F8" s="41" t="s">
        <v>337</v>
      </c>
      <c r="G8" s="41" t="s">
        <v>338</v>
      </c>
    </row>
    <row r="9" spans="1:7" ht="24" customHeight="1">
      <c r="A9" s="38" t="s">
        <v>339</v>
      </c>
      <c r="B9" s="40">
        <f>('Reformulated IS'!B34-'Reformulated IS'!B80)/'Managerial BS'!B65</f>
        <v>-8.7281795511221939E-3</v>
      </c>
      <c r="C9" s="40">
        <f>('Reformulated IS'!C34-'Reformulated IS'!C80)/'Managerial BS'!C65</f>
        <v>4.2777155655095184E-2</v>
      </c>
      <c r="D9" s="40">
        <f>('Reformulated IS'!D34-'Reformulated IS'!D80)/'Managerial BS'!D65</f>
        <v>3.0194894317869887E-3</v>
      </c>
      <c r="E9" s="38" t="s">
        <v>19</v>
      </c>
      <c r="F9" s="38" t="s">
        <v>340</v>
      </c>
      <c r="G9" s="38" t="s">
        <v>341</v>
      </c>
    </row>
    <row r="10" spans="1:7" ht="24" customHeight="1">
      <c r="A10" s="38" t="s">
        <v>342</v>
      </c>
      <c r="B10" s="43">
        <f>B8-B7-B9</f>
        <v>0</v>
      </c>
      <c r="C10" s="43">
        <f>C8-C7-C9</f>
        <v>0</v>
      </c>
      <c r="D10" s="43">
        <f>D8-D7-D9</f>
        <v>-7.3725747729014302E-18</v>
      </c>
      <c r="E10" s="38" t="s">
        <v>19</v>
      </c>
      <c r="F10" s="38" t="s">
        <v>343</v>
      </c>
      <c r="G10" s="38" t="s">
        <v>344</v>
      </c>
    </row>
    <row r="11" spans="1:7" ht="24" customHeight="1">
      <c r="A11" s="38"/>
      <c r="B11" s="39"/>
      <c r="C11" s="39"/>
      <c r="D11" s="39"/>
      <c r="E11" s="38"/>
      <c r="F11" s="38"/>
      <c r="G11" s="38"/>
    </row>
    <row r="12" spans="1:7" ht="26.75" customHeight="1">
      <c r="A12" s="89" t="s">
        <v>345</v>
      </c>
      <c r="B12" s="91"/>
      <c r="C12" s="91"/>
      <c r="D12" s="91"/>
      <c r="E12" s="89"/>
      <c r="F12" s="89"/>
      <c r="G12" s="89"/>
    </row>
    <row r="13" spans="1:7" ht="37.25" customHeight="1">
      <c r="A13" s="35" t="s">
        <v>329</v>
      </c>
      <c r="B13" s="37" t="s">
        <v>330</v>
      </c>
      <c r="C13" s="37" t="s">
        <v>331</v>
      </c>
      <c r="D13" s="37" t="s">
        <v>332</v>
      </c>
      <c r="E13" s="35" t="s">
        <v>8</v>
      </c>
      <c r="F13" s="35" t="s">
        <v>190</v>
      </c>
      <c r="G13" s="35" t="s">
        <v>11</v>
      </c>
    </row>
    <row r="14" spans="1:7" ht="24" customHeight="1">
      <c r="A14" s="38" t="s">
        <v>346</v>
      </c>
      <c r="B14" s="44">
        <f>'Reformulated IS'!B80</f>
        <v>835</v>
      </c>
      <c r="C14" s="44">
        <f>'Reformulated IS'!C80</f>
        <v>808</v>
      </c>
      <c r="D14" s="44">
        <f>'Reformulated IS'!D80</f>
        <v>586</v>
      </c>
      <c r="E14" s="38" t="s">
        <v>347</v>
      </c>
      <c r="F14" s="38" t="s">
        <v>348</v>
      </c>
      <c r="G14" s="38" t="s">
        <v>349</v>
      </c>
    </row>
    <row r="15" spans="1:7" ht="24" customHeight="1">
      <c r="A15" s="38" t="s">
        <v>350</v>
      </c>
      <c r="B15" s="45">
        <f>B125</f>
        <v>1176</v>
      </c>
      <c r="C15" s="45">
        <f>C125</f>
        <v>840</v>
      </c>
      <c r="D15" s="45">
        <f>D125</f>
        <v>630</v>
      </c>
      <c r="E15" s="38" t="s">
        <v>19</v>
      </c>
      <c r="F15" s="38" t="s">
        <v>351</v>
      </c>
      <c r="G15" s="38" t="s">
        <v>352</v>
      </c>
    </row>
    <row r="16" spans="1:7" ht="24" customHeight="1">
      <c r="A16" s="38" t="s">
        <v>353</v>
      </c>
      <c r="B16" s="44">
        <f>'Reformulated IS'!B79</f>
        <v>1572</v>
      </c>
      <c r="C16" s="44">
        <f>'Reformulated IS'!C79</f>
        <v>1168</v>
      </c>
      <c r="D16" s="44">
        <f>'Reformulated IS'!D79</f>
        <v>815</v>
      </c>
      <c r="E16" s="38" t="s">
        <v>347</v>
      </c>
      <c r="F16" s="38" t="s">
        <v>348</v>
      </c>
      <c r="G16" s="38" t="s">
        <v>354</v>
      </c>
    </row>
    <row r="17" spans="1:7" ht="24" customHeight="1">
      <c r="A17" s="38" t="s">
        <v>355</v>
      </c>
      <c r="B17" s="45">
        <f>B124</f>
        <v>1684</v>
      </c>
      <c r="C17" s="45">
        <f>C124</f>
        <v>1270</v>
      </c>
      <c r="D17" s="45">
        <f>D124</f>
        <v>897</v>
      </c>
      <c r="E17" s="38" t="s">
        <v>19</v>
      </c>
      <c r="F17" s="38" t="s">
        <v>351</v>
      </c>
      <c r="G17" s="38" t="s">
        <v>356</v>
      </c>
    </row>
    <row r="18" spans="1:7" ht="24" customHeight="1">
      <c r="A18" s="38" t="s">
        <v>12</v>
      </c>
      <c r="B18" s="44">
        <f>'Reformulated IS'!B7</f>
        <v>9935</v>
      </c>
      <c r="C18" s="44">
        <f>'Reformulated IS'!C7</f>
        <v>7715</v>
      </c>
      <c r="D18" s="44">
        <f>'Reformulated IS'!D7</f>
        <v>7176</v>
      </c>
      <c r="E18" s="38" t="s">
        <v>347</v>
      </c>
      <c r="F18" s="38" t="s">
        <v>357</v>
      </c>
      <c r="G18" s="38" t="s">
        <v>358</v>
      </c>
    </row>
    <row r="19" spans="1:7" ht="24" customHeight="1">
      <c r="A19" s="38" t="s">
        <v>359</v>
      </c>
      <c r="B19" s="44">
        <f>'Managerial BS'!B70</f>
        <v>16772</v>
      </c>
      <c r="C19" s="44">
        <f>'Managerial BS'!C70</f>
        <v>14344</v>
      </c>
      <c r="D19" s="44">
        <f>'Managerial BS'!D70</f>
        <v>11707</v>
      </c>
      <c r="E19" s="38" t="s">
        <v>347</v>
      </c>
      <c r="F19" s="38" t="s">
        <v>360</v>
      </c>
      <c r="G19" s="38" t="s">
        <v>361</v>
      </c>
    </row>
    <row r="20" spans="1:7" ht="24" customHeight="1">
      <c r="A20" s="38" t="s">
        <v>362</v>
      </c>
      <c r="B20" s="44">
        <f>'Managerial BS'!B65</f>
        <v>5614</v>
      </c>
      <c r="C20" s="44">
        <f>'Managerial BS'!C65</f>
        <v>4465</v>
      </c>
      <c r="D20" s="44">
        <f>'Managerial BS'!D65</f>
        <v>3643</v>
      </c>
      <c r="E20" s="38" t="s">
        <v>347</v>
      </c>
      <c r="F20" s="38" t="s">
        <v>363</v>
      </c>
      <c r="G20" s="38" t="s">
        <v>361</v>
      </c>
    </row>
    <row r="21" spans="1:7" ht="24" customHeight="1">
      <c r="A21" s="38" t="s">
        <v>364</v>
      </c>
      <c r="B21" s="43">
        <f>B15/B16</f>
        <v>0.74809160305343514</v>
      </c>
      <c r="C21" s="43">
        <f>C15/C16</f>
        <v>0.71917808219178081</v>
      </c>
      <c r="D21" s="43">
        <f>D15/D16</f>
        <v>0.77300613496932513</v>
      </c>
      <c r="E21" s="38" t="s">
        <v>19</v>
      </c>
      <c r="F21" s="38" t="s">
        <v>365</v>
      </c>
      <c r="G21" s="38" t="s">
        <v>366</v>
      </c>
    </row>
    <row r="22" spans="1:7" ht="24" customHeight="1">
      <c r="A22" s="38" t="s">
        <v>367</v>
      </c>
      <c r="B22" s="43">
        <f>B14/B15</f>
        <v>0.71003401360544216</v>
      </c>
      <c r="C22" s="43">
        <f>C14/C15</f>
        <v>0.96190476190476193</v>
      </c>
      <c r="D22" s="43">
        <f>D14/D15</f>
        <v>0.93015873015873018</v>
      </c>
      <c r="E22" s="38" t="s">
        <v>19</v>
      </c>
      <c r="F22" s="38" t="s">
        <v>368</v>
      </c>
      <c r="G22" s="38" t="s">
        <v>369</v>
      </c>
    </row>
    <row r="23" spans="1:7" ht="24" customHeight="1">
      <c r="A23" s="38" t="s">
        <v>370</v>
      </c>
      <c r="B23" s="43">
        <f>B14/B16</f>
        <v>0.53117048346055984</v>
      </c>
      <c r="C23" s="43">
        <f>C14/C16</f>
        <v>0.69178082191780821</v>
      </c>
      <c r="D23" s="43">
        <f>D14/D16</f>
        <v>0.71901840490797542</v>
      </c>
      <c r="E23" s="38" t="s">
        <v>19</v>
      </c>
      <c r="F23" s="38" t="s">
        <v>370</v>
      </c>
      <c r="G23" s="38" t="s">
        <v>371</v>
      </c>
    </row>
    <row r="24" spans="1:7" ht="24" customHeight="1">
      <c r="A24" s="38" t="s">
        <v>372</v>
      </c>
      <c r="B24" s="43">
        <f>B21*B22-B23</f>
        <v>0</v>
      </c>
      <c r="C24" s="43">
        <f>C21*C22-C23</f>
        <v>0</v>
      </c>
      <c r="D24" s="43">
        <f>D21*D22-D23</f>
        <v>0</v>
      </c>
      <c r="E24" s="38" t="s">
        <v>19</v>
      </c>
      <c r="F24" s="38" t="s">
        <v>373</v>
      </c>
      <c r="G24" s="38" t="s">
        <v>344</v>
      </c>
    </row>
    <row r="25" spans="1:7" ht="24" customHeight="1">
      <c r="A25" s="38" t="s">
        <v>374</v>
      </c>
      <c r="B25" s="43">
        <f t="shared" ref="B25:D28" si="0">B16/B17</f>
        <v>0.9334916864608076</v>
      </c>
      <c r="C25" s="43">
        <f t="shared" si="0"/>
        <v>0.91968503937007873</v>
      </c>
      <c r="D25" s="43">
        <f t="shared" si="0"/>
        <v>0.90858416945373466</v>
      </c>
      <c r="E25" s="38" t="s">
        <v>19</v>
      </c>
      <c r="F25" s="38" t="s">
        <v>374</v>
      </c>
      <c r="G25" s="38" t="s">
        <v>375</v>
      </c>
    </row>
    <row r="26" spans="1:7" ht="24" customHeight="1">
      <c r="A26" s="38" t="s">
        <v>376</v>
      </c>
      <c r="B26" s="43">
        <f t="shared" si="0"/>
        <v>0.16950176144942125</v>
      </c>
      <c r="C26" s="43">
        <f t="shared" si="0"/>
        <v>0.16461438755670771</v>
      </c>
      <c r="D26" s="43">
        <f t="shared" si="0"/>
        <v>0.125</v>
      </c>
      <c r="E26" s="38" t="s">
        <v>19</v>
      </c>
      <c r="F26" s="38" t="s">
        <v>376</v>
      </c>
      <c r="G26" s="38" t="s">
        <v>375</v>
      </c>
    </row>
    <row r="27" spans="1:7" ht="24" customHeight="1">
      <c r="A27" s="38" t="s">
        <v>377</v>
      </c>
      <c r="B27" s="46">
        <f t="shared" si="0"/>
        <v>0.59235630813260198</v>
      </c>
      <c r="C27" s="46">
        <f t="shared" si="0"/>
        <v>0.53785554935861679</v>
      </c>
      <c r="D27" s="46">
        <f t="shared" si="0"/>
        <v>0.61296660117878188</v>
      </c>
      <c r="E27" s="38" t="s">
        <v>19</v>
      </c>
      <c r="F27" s="38" t="s">
        <v>377</v>
      </c>
      <c r="G27" s="38" t="s">
        <v>378</v>
      </c>
    </row>
    <row r="28" spans="1:7" ht="24" customHeight="1">
      <c r="A28" s="38" t="s">
        <v>379</v>
      </c>
      <c r="B28" s="46">
        <f t="shared" si="0"/>
        <v>2.9875311720698257</v>
      </c>
      <c r="C28" s="46">
        <f t="shared" si="0"/>
        <v>3.212541993281075</v>
      </c>
      <c r="D28" s="46">
        <f t="shared" si="0"/>
        <v>3.213560252539116</v>
      </c>
      <c r="E28" s="38" t="s">
        <v>19</v>
      </c>
      <c r="F28" s="38" t="s">
        <v>379</v>
      </c>
      <c r="G28" s="38" t="s">
        <v>380</v>
      </c>
    </row>
    <row r="29" spans="1:7" ht="24" customHeight="1">
      <c r="A29" s="41" t="s">
        <v>381</v>
      </c>
      <c r="B29" s="47">
        <f>B23*B25*B26*B27*B28</f>
        <v>0.14873530459565376</v>
      </c>
      <c r="C29" s="47">
        <f>C23*C25*C26*C27*C28</f>
        <v>0.18096304591265394</v>
      </c>
      <c r="D29" s="47">
        <f>D23*D25*D26*D27*D28</f>
        <v>0.16085643700247049</v>
      </c>
      <c r="E29" s="41" t="s">
        <v>19</v>
      </c>
      <c r="F29" s="41" t="s">
        <v>382</v>
      </c>
      <c r="G29" s="41" t="s">
        <v>383</v>
      </c>
    </row>
    <row r="30" spans="1:7" ht="24" customHeight="1">
      <c r="A30" s="48" t="s">
        <v>384</v>
      </c>
      <c r="B30" s="49">
        <f>B14/B20</f>
        <v>0.14873530459565373</v>
      </c>
      <c r="C30" s="49">
        <f>C14/C20</f>
        <v>0.18096304591265397</v>
      </c>
      <c r="D30" s="49">
        <f>D14/D20</f>
        <v>0.16085643700247049</v>
      </c>
      <c r="E30" s="48" t="s">
        <v>19</v>
      </c>
      <c r="F30" s="48" t="s">
        <v>385</v>
      </c>
      <c r="G30" s="48" t="s">
        <v>386</v>
      </c>
    </row>
    <row r="31" spans="1:7" ht="24" customHeight="1">
      <c r="A31" s="38" t="s">
        <v>387</v>
      </c>
      <c r="B31" s="39">
        <f>B29-B30</f>
        <v>0</v>
      </c>
      <c r="C31" s="39">
        <f>C29-C30</f>
        <v>0</v>
      </c>
      <c r="D31" s="39">
        <f>D29-D30</f>
        <v>0</v>
      </c>
      <c r="E31" s="38" t="s">
        <v>19</v>
      </c>
      <c r="F31" s="38" t="s">
        <v>388</v>
      </c>
      <c r="G31" s="38" t="s">
        <v>389</v>
      </c>
    </row>
    <row r="32" spans="1:7" ht="24" customHeight="1">
      <c r="A32" s="38"/>
      <c r="B32" s="39"/>
      <c r="C32" s="39"/>
      <c r="D32" s="39"/>
      <c r="E32" s="38"/>
      <c r="F32" s="38"/>
      <c r="G32" s="38"/>
    </row>
    <row r="33" spans="1:7" ht="26.75" customHeight="1">
      <c r="A33" s="89" t="s">
        <v>390</v>
      </c>
      <c r="B33" s="91"/>
      <c r="C33" s="91"/>
      <c r="D33" s="91"/>
      <c r="E33" s="89"/>
      <c r="F33" s="89"/>
      <c r="G33" s="89"/>
    </row>
    <row r="34" spans="1:7" ht="37.25" customHeight="1">
      <c r="A34" s="35" t="s">
        <v>329</v>
      </c>
      <c r="B34" s="37" t="s">
        <v>330</v>
      </c>
      <c r="C34" s="37" t="s">
        <v>331</v>
      </c>
      <c r="D34" s="37" t="s">
        <v>332</v>
      </c>
      <c r="E34" s="35" t="s">
        <v>8</v>
      </c>
      <c r="F34" s="35" t="s">
        <v>190</v>
      </c>
      <c r="G34" s="35" t="s">
        <v>11</v>
      </c>
    </row>
    <row r="35" spans="1:7" ht="24" customHeight="1">
      <c r="A35" s="38" t="s">
        <v>391</v>
      </c>
      <c r="B35" s="40">
        <f>'Reformulated IS'!B18/'Reformulated IS'!B7</f>
        <v>0.1524911927528938</v>
      </c>
      <c r="C35" s="40">
        <f>'Reformulated IS'!C18/'Reformulated IS'!C7</f>
        <v>0.16357744653272846</v>
      </c>
      <c r="D35" s="40">
        <f>'Reformulated IS'!D18/'Reformulated IS'!D7</f>
        <v>0.11162207357859531</v>
      </c>
      <c r="E35" s="38" t="s">
        <v>19</v>
      </c>
      <c r="F35" s="38" t="s">
        <v>392</v>
      </c>
      <c r="G35" s="38" t="s">
        <v>393</v>
      </c>
    </row>
    <row r="36" spans="1:7" ht="24" customHeight="1">
      <c r="A36" s="38" t="s">
        <v>394</v>
      </c>
      <c r="B36" s="43">
        <f>B17/B18</f>
        <v>0.16950176144942125</v>
      </c>
      <c r="C36" s="43">
        <f>C17/C18</f>
        <v>0.16461438755670771</v>
      </c>
      <c r="D36" s="43">
        <f>D17/D18</f>
        <v>0.125</v>
      </c>
      <c r="E36" s="38" t="s">
        <v>19</v>
      </c>
      <c r="F36" s="38" t="s">
        <v>395</v>
      </c>
      <c r="G36" s="38" t="s">
        <v>393</v>
      </c>
    </row>
    <row r="37" spans="1:7" ht="24" customHeight="1">
      <c r="A37" s="38" t="s">
        <v>396</v>
      </c>
      <c r="B37" s="43">
        <f>B35-B36</f>
        <v>-1.7010568696527451E-2</v>
      </c>
      <c r="C37" s="43">
        <f>C35-C36</f>
        <v>-1.0369410239792487E-3</v>
      </c>
      <c r="D37" s="43">
        <f>D35-D36</f>
        <v>-1.3377926421404687E-2</v>
      </c>
      <c r="E37" s="38" t="s">
        <v>19</v>
      </c>
      <c r="F37" s="38" t="s">
        <v>397</v>
      </c>
      <c r="G37" s="38" t="s">
        <v>398</v>
      </c>
    </row>
    <row r="38" spans="1:7" ht="24" customHeight="1">
      <c r="A38" s="38" t="s">
        <v>399</v>
      </c>
      <c r="B38" s="50">
        <f>'Reformulated IS'!B7/'Managerial BS'!B39</f>
        <v>0.77015503875968994</v>
      </c>
      <c r="C38" s="50">
        <f>'Reformulated IS'!C7/'Managerial BS'!C39</f>
        <v>0.64115349455663595</v>
      </c>
      <c r="D38" s="50">
        <f>'Reformulated IS'!D7/'Managerial BS'!D39</f>
        <v>0.73172223921688595</v>
      </c>
      <c r="E38" s="38" t="s">
        <v>19</v>
      </c>
      <c r="F38" s="38" t="s">
        <v>400</v>
      </c>
      <c r="G38" s="38" t="s">
        <v>401</v>
      </c>
    </row>
    <row r="39" spans="1:7" ht="24" customHeight="1">
      <c r="A39" s="38" t="s">
        <v>402</v>
      </c>
      <c r="B39" s="50">
        <f>'Reformulated IS'!B7/'Managerial BS'!B70</f>
        <v>0.59235630813260198</v>
      </c>
      <c r="C39" s="50">
        <f>'Reformulated IS'!C7/'Managerial BS'!C70</f>
        <v>0.53785554935861679</v>
      </c>
      <c r="D39" s="50">
        <f>'Reformulated IS'!D7/'Managerial BS'!D70</f>
        <v>0.61296660117878188</v>
      </c>
      <c r="E39" s="38" t="s">
        <v>19</v>
      </c>
      <c r="F39" s="38" t="s">
        <v>403</v>
      </c>
      <c r="G39" s="38" t="s">
        <v>401</v>
      </c>
    </row>
    <row r="40" spans="1:7" ht="24" customHeight="1">
      <c r="A40" s="38" t="s">
        <v>404</v>
      </c>
      <c r="B40" s="46">
        <f>B38-B39</f>
        <v>0.17779873062708795</v>
      </c>
      <c r="C40" s="46">
        <f>C38-C39</f>
        <v>0.10329794519801916</v>
      </c>
      <c r="D40" s="46">
        <f>D38-D39</f>
        <v>0.11875563803810407</v>
      </c>
      <c r="E40" s="38" t="s">
        <v>19</v>
      </c>
      <c r="F40" s="38" t="s">
        <v>405</v>
      </c>
      <c r="G40" s="38" t="s">
        <v>406</v>
      </c>
    </row>
    <row r="41" spans="1:7" ht="24" customHeight="1">
      <c r="A41" s="38" t="s">
        <v>407</v>
      </c>
      <c r="B41" s="40">
        <f>'Managerial BS'!B29/'Managerial BS'!B65</f>
        <v>1.4442465265407909</v>
      </c>
      <c r="C41" s="40">
        <f>'Managerial BS'!C29/'Managerial BS'!C65</f>
        <v>1.4618141097424413</v>
      </c>
      <c r="D41" s="40">
        <f>'Managerial BS'!D29/'Managerial BS'!D65</f>
        <v>1.4586878945923689</v>
      </c>
      <c r="E41" s="38" t="s">
        <v>19</v>
      </c>
      <c r="F41" s="38" t="s">
        <v>408</v>
      </c>
      <c r="G41" s="38" t="s">
        <v>409</v>
      </c>
    </row>
    <row r="42" spans="1:7" ht="24" customHeight="1">
      <c r="A42" s="38" t="s">
        <v>410</v>
      </c>
      <c r="B42" s="40">
        <f>('Managerial BS'!B51+'Managerial BS'!B52)/'Managerial BS'!B65</f>
        <v>0.2322764517278233</v>
      </c>
      <c r="C42" s="40">
        <f>('Managerial BS'!C51+'Managerial BS'!C52)/'Managerial BS'!C65</f>
        <v>0.55991041433370659</v>
      </c>
      <c r="D42" s="40">
        <f>('Managerial BS'!D51+'Managerial BS'!D52)/'Managerial BS'!D65</f>
        <v>0.55174306889925884</v>
      </c>
      <c r="E42" s="38" t="s">
        <v>19</v>
      </c>
      <c r="F42" s="38" t="s">
        <v>411</v>
      </c>
      <c r="G42" s="38" t="s">
        <v>409</v>
      </c>
    </row>
    <row r="43" spans="1:7" ht="24" customHeight="1">
      <c r="A43" s="38" t="s">
        <v>412</v>
      </c>
      <c r="B43" s="50">
        <f>'Managerial BS'!B70/'Managerial BS'!B65</f>
        <v>2.9875311720698257</v>
      </c>
      <c r="C43" s="50">
        <f>'Managerial BS'!C70/'Managerial BS'!C65</f>
        <v>3.212541993281075</v>
      </c>
      <c r="D43" s="50">
        <f>'Managerial BS'!D70/'Managerial BS'!D65</f>
        <v>3.213560252539116</v>
      </c>
      <c r="E43" s="38" t="s">
        <v>19</v>
      </c>
      <c r="F43" s="38" t="s">
        <v>413</v>
      </c>
      <c r="G43" s="38" t="s">
        <v>414</v>
      </c>
    </row>
    <row r="44" spans="1:7" ht="24" customHeight="1">
      <c r="A44" s="38" t="s">
        <v>415</v>
      </c>
      <c r="B44" s="44">
        <f>'Reformulated IS'!B23</f>
        <v>4</v>
      </c>
      <c r="C44" s="44">
        <f>'Reformulated IS'!C23</f>
        <v>14</v>
      </c>
      <c r="D44" s="44">
        <f>'Reformulated IS'!D23</f>
        <v>29</v>
      </c>
      <c r="E44" s="38" t="s">
        <v>347</v>
      </c>
      <c r="F44" s="38" t="s">
        <v>416</v>
      </c>
      <c r="G44" s="38" t="s">
        <v>417</v>
      </c>
    </row>
    <row r="45" spans="1:7" ht="24" customHeight="1">
      <c r="A45" s="38" t="s">
        <v>418</v>
      </c>
      <c r="B45" s="43">
        <f>B44/B17</f>
        <v>2.3752969121140144E-3</v>
      </c>
      <c r="C45" s="43">
        <f>C44/C17</f>
        <v>1.1023622047244094E-2</v>
      </c>
      <c r="D45" s="43">
        <f>D44/D17</f>
        <v>3.2329988851727984E-2</v>
      </c>
      <c r="E45" s="38" t="s">
        <v>19</v>
      </c>
      <c r="F45" s="38" t="s">
        <v>419</v>
      </c>
      <c r="G45" s="38" t="s">
        <v>420</v>
      </c>
    </row>
    <row r="46" spans="1:7" ht="24" customHeight="1">
      <c r="A46" s="38" t="s">
        <v>421</v>
      </c>
      <c r="B46" s="40">
        <f>ABS('Reformulated IS'!B27)/ABS('Reformulated IS'!B26)</f>
        <v>9.8408104196816212E-2</v>
      </c>
      <c r="C46" s="40">
        <f>ABS('Reformulated IS'!C27)/ABS('Reformulated IS'!C26)</f>
        <v>0.24239713774597496</v>
      </c>
      <c r="D46" s="40">
        <f>ABS('Reformulated IS'!D27)/ABS('Reformulated IS'!D26)</f>
        <v>7.1129707112970716E-2</v>
      </c>
      <c r="E46" s="38" t="s">
        <v>19</v>
      </c>
      <c r="F46" s="38" t="s">
        <v>422</v>
      </c>
      <c r="G46" s="38" t="s">
        <v>423</v>
      </c>
    </row>
    <row r="47" spans="1:7" ht="24" customHeight="1">
      <c r="A47" s="38"/>
      <c r="B47" s="39"/>
      <c r="C47" s="39"/>
      <c r="D47" s="39"/>
      <c r="E47" s="38"/>
      <c r="F47" s="38"/>
      <c r="G47" s="38"/>
    </row>
    <row r="48" spans="1:7" ht="26.75" customHeight="1">
      <c r="A48" s="89" t="s">
        <v>424</v>
      </c>
      <c r="B48" s="91"/>
      <c r="C48" s="91"/>
      <c r="D48" s="91"/>
      <c r="E48" s="89"/>
      <c r="F48" s="89"/>
      <c r="G48" s="89"/>
    </row>
    <row r="49" spans="1:7" ht="45.25" customHeight="1">
      <c r="A49" s="87" t="s">
        <v>425</v>
      </c>
      <c r="B49" s="92"/>
      <c r="C49" s="92"/>
      <c r="D49" s="92"/>
      <c r="E49" s="87"/>
      <c r="F49" s="87"/>
      <c r="G49" s="87"/>
    </row>
    <row r="50" spans="1:7" ht="37.25" customHeight="1">
      <c r="A50" s="35" t="s">
        <v>329</v>
      </c>
      <c r="B50" s="37" t="s">
        <v>330</v>
      </c>
      <c r="C50" s="37" t="s">
        <v>331</v>
      </c>
      <c r="D50" s="37" t="s">
        <v>332</v>
      </c>
      <c r="E50" s="35" t="s">
        <v>8</v>
      </c>
      <c r="F50" s="35" t="s">
        <v>190</v>
      </c>
      <c r="G50" s="35" t="s">
        <v>11</v>
      </c>
    </row>
    <row r="51" spans="1:7" ht="24" customHeight="1">
      <c r="A51" s="38" t="s">
        <v>260</v>
      </c>
      <c r="B51" s="44">
        <f>'Managerial BS'!B40</f>
        <v>4792</v>
      </c>
      <c r="C51" s="44">
        <f>'Managerial BS'!C40</f>
        <v>5506</v>
      </c>
      <c r="D51" s="44">
        <f>'Managerial BS'!D40</f>
        <v>4493</v>
      </c>
      <c r="E51" s="38" t="s">
        <v>347</v>
      </c>
      <c r="F51" s="38" t="s">
        <v>426</v>
      </c>
      <c r="G51" s="38" t="s">
        <v>361</v>
      </c>
    </row>
    <row r="52" spans="1:7" ht="24" customHeight="1">
      <c r="A52" s="38" t="s">
        <v>304</v>
      </c>
      <c r="B52" s="44">
        <f>'Managerial BS'!B63</f>
        <v>385</v>
      </c>
      <c r="C52" s="44">
        <f>'Managerial BS'!C63</f>
        <v>233</v>
      </c>
      <c r="D52" s="44">
        <f>'Managerial BS'!D63</f>
        <v>221</v>
      </c>
      <c r="E52" s="38" t="s">
        <v>347</v>
      </c>
      <c r="F52" s="38" t="s">
        <v>426</v>
      </c>
      <c r="G52" s="38" t="s">
        <v>361</v>
      </c>
    </row>
    <row r="53" spans="1:7" ht="24" customHeight="1">
      <c r="A53" s="38" t="s">
        <v>427</v>
      </c>
      <c r="B53" s="45">
        <f>B51-B52</f>
        <v>4407</v>
      </c>
      <c r="C53" s="45">
        <f>C51-C52</f>
        <v>5273</v>
      </c>
      <c r="D53" s="45">
        <f>D51-D52</f>
        <v>4272</v>
      </c>
      <c r="E53" s="38" t="s">
        <v>19</v>
      </c>
      <c r="F53" s="38" t="s">
        <v>428</v>
      </c>
      <c r="G53" s="38" t="s">
        <v>429</v>
      </c>
    </row>
    <row r="54" spans="1:7" ht="24" customHeight="1">
      <c r="A54" s="38" t="s">
        <v>292</v>
      </c>
      <c r="B54" s="44">
        <f>'Managerial BS'!B55</f>
        <v>-387</v>
      </c>
      <c r="C54" s="44">
        <f>'Managerial BS'!C55</f>
        <v>1235</v>
      </c>
      <c r="D54" s="44">
        <f>'Managerial BS'!D55</f>
        <v>1083</v>
      </c>
      <c r="E54" s="38" t="s">
        <v>347</v>
      </c>
      <c r="F54" s="38" t="s">
        <v>426</v>
      </c>
      <c r="G54" s="38" t="s">
        <v>430</v>
      </c>
    </row>
    <row r="55" spans="1:7" ht="24" customHeight="1">
      <c r="A55" s="38" t="s">
        <v>307</v>
      </c>
      <c r="B55" s="44">
        <f>'Managerial BS'!B64</f>
        <v>0</v>
      </c>
      <c r="C55" s="44">
        <f>'Managerial BS'!C64</f>
        <v>0</v>
      </c>
      <c r="D55" s="44">
        <f>'Managerial BS'!D64</f>
        <v>0</v>
      </c>
      <c r="E55" s="38" t="s">
        <v>347</v>
      </c>
      <c r="F55" s="38" t="s">
        <v>426</v>
      </c>
      <c r="G55" s="38" t="s">
        <v>431</v>
      </c>
    </row>
    <row r="56" spans="1:7" ht="24" customHeight="1">
      <c r="A56" s="38" t="s">
        <v>272</v>
      </c>
      <c r="B56" s="44">
        <f>'Managerial BS'!B46</f>
        <v>820</v>
      </c>
      <c r="C56" s="44">
        <f>'Managerial BS'!C46</f>
        <v>427</v>
      </c>
      <c r="D56" s="44">
        <f>'Managerial BS'!D46</f>
        <v>454</v>
      </c>
      <c r="E56" s="38" t="s">
        <v>347</v>
      </c>
      <c r="F56" s="38" t="s">
        <v>426</v>
      </c>
      <c r="G56" s="38" t="s">
        <v>274</v>
      </c>
    </row>
    <row r="57" spans="1:7" ht="24" customHeight="1">
      <c r="A57" s="38" t="s">
        <v>432</v>
      </c>
      <c r="B57" s="45">
        <f>B54+B55-B56</f>
        <v>-1207</v>
      </c>
      <c r="C57" s="45">
        <f>C54+C55-C56</f>
        <v>808</v>
      </c>
      <c r="D57" s="45">
        <f>D54+D55-D56</f>
        <v>629</v>
      </c>
      <c r="E57" s="38" t="s">
        <v>19</v>
      </c>
      <c r="F57" s="38" t="s">
        <v>433</v>
      </c>
      <c r="G57" s="38" t="s">
        <v>434</v>
      </c>
    </row>
    <row r="58" spans="1:7" ht="24" customHeight="1">
      <c r="A58" s="38" t="s">
        <v>435</v>
      </c>
      <c r="B58" s="45">
        <f>IF(B57&lt;0,-B57,0)</f>
        <v>1207</v>
      </c>
      <c r="C58" s="45">
        <f>IF(C57&lt;0,-C57,0)</f>
        <v>0</v>
      </c>
      <c r="D58" s="45">
        <f>IF(D57&lt;0,-D57,0)</f>
        <v>0</v>
      </c>
      <c r="E58" s="38" t="s">
        <v>19</v>
      </c>
      <c r="F58" s="38" t="s">
        <v>436</v>
      </c>
      <c r="G58" s="38" t="s">
        <v>437</v>
      </c>
    </row>
    <row r="59" spans="1:7" ht="24" customHeight="1">
      <c r="A59" s="38" t="s">
        <v>438</v>
      </c>
      <c r="B59" s="51" t="str">
        <f>IF(B57&gt;0,"NFO","NFA")</f>
        <v>NFA</v>
      </c>
      <c r="C59" s="51" t="str">
        <f>IF(C57&gt;0,"NFO","NFA")</f>
        <v>NFO</v>
      </c>
      <c r="D59" s="51" t="str">
        <f>IF(D57&gt;0,"NFO","NFA")</f>
        <v>NFO</v>
      </c>
      <c r="E59" s="38" t="s">
        <v>19</v>
      </c>
      <c r="F59" s="38" t="s">
        <v>439</v>
      </c>
      <c r="G59" s="38" t="s">
        <v>440</v>
      </c>
    </row>
    <row r="60" spans="1:7" ht="24" customHeight="1">
      <c r="A60" s="38" t="s">
        <v>362</v>
      </c>
      <c r="B60" s="44">
        <f>'Managerial BS'!B65</f>
        <v>5614</v>
      </c>
      <c r="C60" s="44">
        <f>'Managerial BS'!C65</f>
        <v>4465</v>
      </c>
      <c r="D60" s="44">
        <f>'Managerial BS'!D65</f>
        <v>3643</v>
      </c>
      <c r="E60" s="38" t="s">
        <v>347</v>
      </c>
      <c r="F60" s="38" t="s">
        <v>426</v>
      </c>
      <c r="G60" s="38" t="s">
        <v>338</v>
      </c>
    </row>
    <row r="61" spans="1:7" ht="24" customHeight="1">
      <c r="A61" s="38" t="s">
        <v>441</v>
      </c>
      <c r="B61" s="45">
        <f>B53-B57-B60</f>
        <v>0</v>
      </c>
      <c r="C61" s="45">
        <f>C53-C57-C60</f>
        <v>0</v>
      </c>
      <c r="D61" s="45">
        <f>D53-D57-D60</f>
        <v>0</v>
      </c>
      <c r="E61" s="38" t="s">
        <v>19</v>
      </c>
      <c r="F61" s="38" t="s">
        <v>442</v>
      </c>
      <c r="G61" s="38" t="s">
        <v>443</v>
      </c>
    </row>
    <row r="62" spans="1:7" ht="24" customHeight="1">
      <c r="A62" s="38" t="s">
        <v>444</v>
      </c>
      <c r="B62" s="44">
        <f>'Reformulated IS'!B18</f>
        <v>1515</v>
      </c>
      <c r="C62" s="44">
        <f>'Reformulated IS'!C18</f>
        <v>1262</v>
      </c>
      <c r="D62" s="44">
        <f>'Reformulated IS'!D18</f>
        <v>801</v>
      </c>
      <c r="E62" s="38" t="s">
        <v>347</v>
      </c>
      <c r="F62" s="38" t="s">
        <v>357</v>
      </c>
      <c r="G62" s="38" t="s">
        <v>445</v>
      </c>
    </row>
    <row r="63" spans="1:7" ht="24" customHeight="1">
      <c r="A63" s="38" t="s">
        <v>446</v>
      </c>
      <c r="B63" s="44">
        <f>'Reformulated IS'!B21+'Reformulated IS'!B25</f>
        <v>-133</v>
      </c>
      <c r="C63" s="44">
        <f>'Reformulated IS'!C21+'Reformulated IS'!C25</f>
        <v>-144</v>
      </c>
      <c r="D63" s="44">
        <f>'Reformulated IS'!D21+'Reformulated IS'!D25</f>
        <v>-84</v>
      </c>
      <c r="E63" s="38" t="s">
        <v>19</v>
      </c>
      <c r="F63" s="38" t="s">
        <v>447</v>
      </c>
      <c r="G63" s="38" t="s">
        <v>448</v>
      </c>
    </row>
    <row r="64" spans="1:7" ht="24" customHeight="1">
      <c r="A64" s="38" t="s">
        <v>449</v>
      </c>
      <c r="B64" s="43">
        <f>B62/B53</f>
        <v>0.3437712729748128</v>
      </c>
      <c r="C64" s="43">
        <f>C62/C53</f>
        <v>0.23933244832163852</v>
      </c>
      <c r="D64" s="43">
        <f>D62/D53</f>
        <v>0.1875</v>
      </c>
      <c r="E64" s="38" t="s">
        <v>19</v>
      </c>
      <c r="F64" s="38" t="s">
        <v>450</v>
      </c>
      <c r="G64" s="38" t="s">
        <v>451</v>
      </c>
    </row>
    <row r="65" spans="1:7" ht="24" customHeight="1">
      <c r="A65" s="38" t="s">
        <v>452</v>
      </c>
      <c r="B65" s="43" t="str">
        <f>IF(B57&gt;0,-B63/B57,"")</f>
        <v/>
      </c>
      <c r="C65" s="43">
        <f>IF(C57&gt;0,-C63/C57,"")</f>
        <v>0.17821782178217821</v>
      </c>
      <c r="D65" s="43">
        <f>IF(D57&gt;0,-D63/D57,"")</f>
        <v>0.13354531001589826</v>
      </c>
      <c r="E65" s="38" t="s">
        <v>19</v>
      </c>
      <c r="F65" s="38" t="s">
        <v>453</v>
      </c>
      <c r="G65" s="38" t="s">
        <v>454</v>
      </c>
    </row>
    <row r="66" spans="1:7" ht="24" customHeight="1">
      <c r="A66" s="38" t="s">
        <v>455</v>
      </c>
      <c r="B66" s="43">
        <f>IF(B57&lt;0,B63/B58,"")</f>
        <v>-0.11019055509527755</v>
      </c>
      <c r="C66" s="43" t="str">
        <f>IF(C57&lt;0,C63/C58,"")</f>
        <v/>
      </c>
      <c r="D66" s="43" t="str">
        <f>IF(D57&lt;0,D63/D58,"")</f>
        <v/>
      </c>
      <c r="E66" s="38" t="s">
        <v>19</v>
      </c>
      <c r="F66" s="38" t="s">
        <v>456</v>
      </c>
      <c r="G66" s="38" t="s">
        <v>457</v>
      </c>
    </row>
    <row r="67" spans="1:7" ht="24" customHeight="1">
      <c r="A67" s="38" t="s">
        <v>458</v>
      </c>
      <c r="B67" s="43">
        <f>IF(B57&gt;0,B57/B60,0)</f>
        <v>0</v>
      </c>
      <c r="C67" s="43">
        <f>IF(C57&gt;0,C57/C60,0)</f>
        <v>0.18096304591265397</v>
      </c>
      <c r="D67" s="43">
        <f>IF(D57&gt;0,D57/D60,0)</f>
        <v>0.17265989569036508</v>
      </c>
      <c r="E67" s="38" t="s">
        <v>19</v>
      </c>
      <c r="F67" s="38" t="s">
        <v>458</v>
      </c>
      <c r="G67" s="38" t="s">
        <v>459</v>
      </c>
    </row>
    <row r="68" spans="1:7" ht="24" customHeight="1">
      <c r="A68" s="38" t="s">
        <v>460</v>
      </c>
      <c r="B68" s="43">
        <f>IF(B58&gt;0,B58/B60,0)</f>
        <v>0.21499821873886713</v>
      </c>
      <c r="C68" s="43">
        <f>IF(C58&gt;0,C58/C60,0)</f>
        <v>0</v>
      </c>
      <c r="D68" s="43">
        <f>IF(D58&gt;0,D58/D60,0)</f>
        <v>0</v>
      </c>
      <c r="E68" s="38" t="s">
        <v>19</v>
      </c>
      <c r="F68" s="38" t="s">
        <v>460</v>
      </c>
      <c r="G68" s="38" t="s">
        <v>461</v>
      </c>
    </row>
    <row r="69" spans="1:7" ht="24" customHeight="1">
      <c r="A69" s="48" t="s">
        <v>462</v>
      </c>
      <c r="B69" s="52">
        <f>IF(B57&gt;0,B64+(B64-B65)*B57/B60,B64-(B64-B66)*B58/B60)</f>
        <v>0.24617028856430354</v>
      </c>
      <c r="C69" s="52">
        <f>IF(C57&gt;0,C64+(C64-C65)*C57/C60,C64-(C64-C66)*C58/C60)</f>
        <v>0.25039193729003356</v>
      </c>
      <c r="D69" s="52">
        <f>IF(D57&gt;0,D64+(D64-D65)*D57/D60,D64-(D64-D66)*D58/D60)</f>
        <v>0.19681581114466098</v>
      </c>
      <c r="E69" s="48" t="s">
        <v>19</v>
      </c>
      <c r="F69" s="48" t="s">
        <v>463</v>
      </c>
      <c r="G69" s="48" t="s">
        <v>464</v>
      </c>
    </row>
    <row r="70" spans="1:7" ht="24" customHeight="1">
      <c r="A70" s="38" t="s">
        <v>58</v>
      </c>
      <c r="B70" s="44">
        <f>'Reformulated IS'!B26</f>
        <v>1382</v>
      </c>
      <c r="C70" s="44">
        <f>'Reformulated IS'!C26</f>
        <v>1118</v>
      </c>
      <c r="D70" s="44">
        <f>'Reformulated IS'!D26</f>
        <v>717</v>
      </c>
      <c r="E70" s="38" t="s">
        <v>347</v>
      </c>
      <c r="F70" s="38" t="s">
        <v>357</v>
      </c>
      <c r="G70" s="38" t="s">
        <v>465</v>
      </c>
    </row>
    <row r="71" spans="1:7" ht="24" customHeight="1">
      <c r="A71" s="38" t="s">
        <v>80</v>
      </c>
      <c r="B71" s="44">
        <f>'Reformulated IS'!B34</f>
        <v>786</v>
      </c>
      <c r="C71" s="44">
        <f>'Reformulated IS'!C34</f>
        <v>999</v>
      </c>
      <c r="D71" s="44">
        <f>'Reformulated IS'!D34</f>
        <v>597</v>
      </c>
      <c r="E71" s="38" t="s">
        <v>347</v>
      </c>
      <c r="F71" s="38" t="s">
        <v>357</v>
      </c>
      <c r="G71" s="38" t="s">
        <v>466</v>
      </c>
    </row>
    <row r="72" spans="1:7" ht="24" customHeight="1">
      <c r="A72" s="38" t="s">
        <v>467</v>
      </c>
      <c r="B72" s="43">
        <f>B71/B70</f>
        <v>0.56874095513748191</v>
      </c>
      <c r="C72" s="43">
        <f>C71/C70</f>
        <v>0.8935599284436494</v>
      </c>
      <c r="D72" s="43">
        <f>D71/D70</f>
        <v>0.83263598326359833</v>
      </c>
      <c r="E72" s="38" t="s">
        <v>19</v>
      </c>
      <c r="F72" s="38" t="s">
        <v>468</v>
      </c>
      <c r="G72" s="38" t="s">
        <v>469</v>
      </c>
    </row>
    <row r="73" spans="1:7" ht="24" customHeight="1">
      <c r="A73" s="41" t="s">
        <v>470</v>
      </c>
      <c r="B73" s="53">
        <f>B69*B72</f>
        <v>0.14000712504453153</v>
      </c>
      <c r="C73" s="53">
        <f>C69*C72</f>
        <v>0.22374020156774913</v>
      </c>
      <c r="D73" s="53">
        <f>D69*D72</f>
        <v>0.16387592643425747</v>
      </c>
      <c r="E73" s="41" t="s">
        <v>19</v>
      </c>
      <c r="F73" s="41" t="s">
        <v>471</v>
      </c>
      <c r="G73" s="41" t="s">
        <v>472</v>
      </c>
    </row>
    <row r="74" spans="1:7" ht="24" customHeight="1">
      <c r="A74" s="48" t="s">
        <v>473</v>
      </c>
      <c r="B74" s="54">
        <f>B71/B60</f>
        <v>0.14000712504453153</v>
      </c>
      <c r="C74" s="54">
        <f>C71/C60</f>
        <v>0.22374020156774915</v>
      </c>
      <c r="D74" s="54">
        <f>D71/D60</f>
        <v>0.16387592643425747</v>
      </c>
      <c r="E74" s="48" t="s">
        <v>19</v>
      </c>
      <c r="F74" s="48" t="s">
        <v>474</v>
      </c>
      <c r="G74" s="48" t="s">
        <v>386</v>
      </c>
    </row>
    <row r="75" spans="1:7" ht="24" customHeight="1">
      <c r="A75" s="48" t="s">
        <v>387</v>
      </c>
      <c r="B75" s="52">
        <f>B73-B74</f>
        <v>0</v>
      </c>
      <c r="C75" s="52">
        <f>C73-C74</f>
        <v>0</v>
      </c>
      <c r="D75" s="52">
        <f>D73-D74</f>
        <v>0</v>
      </c>
      <c r="E75" s="48" t="s">
        <v>19</v>
      </c>
      <c r="F75" s="48" t="s">
        <v>475</v>
      </c>
      <c r="G75" s="48" t="s">
        <v>389</v>
      </c>
    </row>
    <row r="76" spans="1:7" ht="24" customHeight="1">
      <c r="A76" s="38"/>
      <c r="B76" s="39"/>
      <c r="C76" s="39"/>
      <c r="D76" s="39"/>
      <c r="E76" s="38"/>
      <c r="F76" s="38"/>
      <c r="G76" s="38"/>
    </row>
    <row r="77" spans="1:7" ht="26.75" customHeight="1">
      <c r="A77" s="89" t="s">
        <v>476</v>
      </c>
      <c r="B77" s="91"/>
      <c r="C77" s="91"/>
      <c r="D77" s="91"/>
      <c r="E77" s="89"/>
      <c r="F77" s="89"/>
      <c r="G77" s="89"/>
    </row>
    <row r="78" spans="1:7" ht="45.25" customHeight="1">
      <c r="A78" s="87" t="s">
        <v>477</v>
      </c>
      <c r="B78" s="92"/>
      <c r="C78" s="92"/>
      <c r="D78" s="92"/>
      <c r="E78" s="87"/>
      <c r="F78" s="87"/>
      <c r="G78" s="87"/>
    </row>
    <row r="79" spans="1:7" ht="37.25" customHeight="1">
      <c r="A79" s="35" t="s">
        <v>329</v>
      </c>
      <c r="B79" s="37" t="s">
        <v>330</v>
      </c>
      <c r="C79" s="37" t="s">
        <v>331</v>
      </c>
      <c r="D79" s="37" t="s">
        <v>332</v>
      </c>
      <c r="E79" s="35" t="s">
        <v>8</v>
      </c>
      <c r="F79" s="35" t="s">
        <v>190</v>
      </c>
      <c r="G79" s="35" t="s">
        <v>11</v>
      </c>
    </row>
    <row r="80" spans="1:7" ht="24" customHeight="1">
      <c r="A80" s="38" t="s">
        <v>478</v>
      </c>
      <c r="B80" s="44">
        <f>-'Reformulated IS'!B29</f>
        <v>395</v>
      </c>
      <c r="C80" s="44">
        <f>-'Reformulated IS'!C29</f>
        <v>327</v>
      </c>
      <c r="D80" s="44">
        <f>-'Reformulated IS'!D29</f>
        <v>188</v>
      </c>
      <c r="E80" s="38" t="s">
        <v>347</v>
      </c>
      <c r="F80" s="38" t="s">
        <v>479</v>
      </c>
      <c r="G80" s="38" t="s">
        <v>480</v>
      </c>
    </row>
    <row r="81" spans="1:7" ht="24" customHeight="1">
      <c r="A81" s="38" t="s">
        <v>481</v>
      </c>
      <c r="B81" s="44">
        <f>'Reformulated IS'!B79</f>
        <v>1572</v>
      </c>
      <c r="C81" s="44">
        <f>'Reformulated IS'!C79</f>
        <v>1168</v>
      </c>
      <c r="D81" s="44">
        <f>'Reformulated IS'!D79</f>
        <v>815</v>
      </c>
      <c r="E81" s="38" t="s">
        <v>347</v>
      </c>
      <c r="F81" s="38" t="s">
        <v>482</v>
      </c>
      <c r="G81" s="38" t="s">
        <v>483</v>
      </c>
    </row>
    <row r="82" spans="1:7" ht="24" customHeight="1">
      <c r="A82" s="38" t="s">
        <v>484</v>
      </c>
      <c r="B82" s="43">
        <f>B80/B81</f>
        <v>0.25127226463104324</v>
      </c>
      <c r="C82" s="43">
        <f>C80/C81</f>
        <v>0.27996575342465752</v>
      </c>
      <c r="D82" s="43">
        <f>D80/D81</f>
        <v>0.23067484662576687</v>
      </c>
      <c r="E82" s="38" t="s">
        <v>19</v>
      </c>
      <c r="F82" s="38" t="s">
        <v>485</v>
      </c>
      <c r="G82" s="38" t="s">
        <v>486</v>
      </c>
    </row>
    <row r="83" spans="1:7" ht="24" customHeight="1">
      <c r="A83" s="38" t="s">
        <v>487</v>
      </c>
      <c r="B83" s="43">
        <f>B126</f>
        <v>0.3</v>
      </c>
      <c r="C83" s="43">
        <f>C126</f>
        <v>0.3</v>
      </c>
      <c r="D83" s="43">
        <f>D126</f>
        <v>0.3</v>
      </c>
      <c r="E83" s="38" t="s">
        <v>19</v>
      </c>
      <c r="F83" s="38" t="s">
        <v>488</v>
      </c>
      <c r="G83" s="38" t="s">
        <v>489</v>
      </c>
    </row>
    <row r="84" spans="1:7" ht="24" customHeight="1">
      <c r="A84" s="38" t="s">
        <v>490</v>
      </c>
      <c r="B84" s="43">
        <f>B82-B83</f>
        <v>-4.8727735368956748E-2</v>
      </c>
      <c r="C84" s="43">
        <f>C82-C83</f>
        <v>-2.0034246575342474E-2</v>
      </c>
      <c r="D84" s="43">
        <f>D82-D83</f>
        <v>-6.9325153374233117E-2</v>
      </c>
      <c r="E84" s="38" t="s">
        <v>19</v>
      </c>
      <c r="F84" s="38" t="s">
        <v>491</v>
      </c>
      <c r="G84" s="38" t="s">
        <v>492</v>
      </c>
    </row>
    <row r="85" spans="1:7" ht="24" customHeight="1">
      <c r="A85" s="38" t="s">
        <v>444</v>
      </c>
      <c r="B85" s="44">
        <f>'Reformulated IS'!B18</f>
        <v>1515</v>
      </c>
      <c r="C85" s="44">
        <f>'Reformulated IS'!C18</f>
        <v>1262</v>
      </c>
      <c r="D85" s="44">
        <f>'Reformulated IS'!D18</f>
        <v>801</v>
      </c>
      <c r="E85" s="38" t="s">
        <v>347</v>
      </c>
      <c r="F85" s="38" t="s">
        <v>357</v>
      </c>
      <c r="G85" s="38" t="s">
        <v>493</v>
      </c>
    </row>
    <row r="86" spans="1:7" ht="24" customHeight="1">
      <c r="A86" s="38" t="s">
        <v>494</v>
      </c>
      <c r="B86" s="45">
        <f>B85*(1-B82)</f>
        <v>1134.3225190839694</v>
      </c>
      <c r="C86" s="45">
        <f>C85*(1-C82)</f>
        <v>908.68321917808214</v>
      </c>
      <c r="D86" s="45">
        <f>D85*(1-D82)</f>
        <v>616.2294478527607</v>
      </c>
      <c r="E86" s="38" t="s">
        <v>19</v>
      </c>
      <c r="F86" s="38" t="s">
        <v>495</v>
      </c>
      <c r="G86" s="38" t="s">
        <v>496</v>
      </c>
    </row>
    <row r="87" spans="1:7" ht="24" customHeight="1">
      <c r="A87" s="38" t="s">
        <v>497</v>
      </c>
      <c r="B87" s="45">
        <f>B63</f>
        <v>-133</v>
      </c>
      <c r="C87" s="45">
        <f>C63</f>
        <v>-144</v>
      </c>
      <c r="D87" s="45">
        <f>D63</f>
        <v>-84</v>
      </c>
      <c r="E87" s="38" t="s">
        <v>19</v>
      </c>
      <c r="F87" s="38" t="s">
        <v>498</v>
      </c>
      <c r="G87" s="38" t="s">
        <v>499</v>
      </c>
    </row>
    <row r="88" spans="1:7" ht="24" customHeight="1">
      <c r="A88" s="38" t="s">
        <v>500</v>
      </c>
      <c r="B88" s="45">
        <f>-B87</f>
        <v>133</v>
      </c>
      <c r="C88" s="45">
        <f>-C87</f>
        <v>144</v>
      </c>
      <c r="D88" s="45">
        <f>-D87</f>
        <v>84</v>
      </c>
      <c r="E88" s="38" t="s">
        <v>19</v>
      </c>
      <c r="F88" s="38" t="s">
        <v>501</v>
      </c>
      <c r="G88" s="38" t="s">
        <v>502</v>
      </c>
    </row>
    <row r="89" spans="1:7" ht="24" customHeight="1">
      <c r="A89" s="38" t="s">
        <v>503</v>
      </c>
      <c r="B89" s="45">
        <f>B88*(1-B82)</f>
        <v>99.580788804071247</v>
      </c>
      <c r="C89" s="45">
        <f>C88*(1-C82)</f>
        <v>103.68493150684931</v>
      </c>
      <c r="D89" s="45">
        <f>D88*(1-D82)</f>
        <v>64.623312883435588</v>
      </c>
      <c r="E89" s="38" t="s">
        <v>19</v>
      </c>
      <c r="F89" s="38" t="s">
        <v>504</v>
      </c>
      <c r="G89" s="38" t="s">
        <v>505</v>
      </c>
    </row>
    <row r="90" spans="1:7" ht="24" customHeight="1">
      <c r="A90" s="38" t="s">
        <v>58</v>
      </c>
      <c r="B90" s="44">
        <f>'Reformulated IS'!B26</f>
        <v>1382</v>
      </c>
      <c r="C90" s="44">
        <f>'Reformulated IS'!C26</f>
        <v>1118</v>
      </c>
      <c r="D90" s="44">
        <f>'Reformulated IS'!D26</f>
        <v>717</v>
      </c>
      <c r="E90" s="38" t="s">
        <v>347</v>
      </c>
      <c r="F90" s="38" t="s">
        <v>357</v>
      </c>
      <c r="G90" s="38" t="s">
        <v>465</v>
      </c>
    </row>
    <row r="91" spans="1:7" ht="24" customHeight="1">
      <c r="A91" s="38" t="s">
        <v>506</v>
      </c>
      <c r="B91" s="45">
        <f>B90*(1-B82)</f>
        <v>1034.7417302798983</v>
      </c>
      <c r="C91" s="45">
        <f>C90*(1-C82)</f>
        <v>804.99828767123279</v>
      </c>
      <c r="D91" s="45">
        <f>D90*(1-D82)</f>
        <v>551.60613496932513</v>
      </c>
      <c r="E91" s="38" t="s">
        <v>19</v>
      </c>
      <c r="F91" s="38" t="s">
        <v>507</v>
      </c>
      <c r="G91" s="38" t="s">
        <v>508</v>
      </c>
    </row>
    <row r="92" spans="1:7" ht="24" customHeight="1">
      <c r="A92" s="38" t="s">
        <v>427</v>
      </c>
      <c r="B92" s="45">
        <f>B53</f>
        <v>4407</v>
      </c>
      <c r="C92" s="45">
        <f>C53</f>
        <v>5273</v>
      </c>
      <c r="D92" s="45">
        <f>D53</f>
        <v>4272</v>
      </c>
      <c r="E92" s="38" t="s">
        <v>19</v>
      </c>
      <c r="F92" s="38" t="s">
        <v>509</v>
      </c>
      <c r="G92" s="38" t="s">
        <v>510</v>
      </c>
    </row>
    <row r="93" spans="1:7" ht="24" customHeight="1">
      <c r="A93" s="48" t="s">
        <v>511</v>
      </c>
      <c r="B93" s="52">
        <f>B86/B92</f>
        <v>0.25739108669933503</v>
      </c>
      <c r="C93" s="52">
        <f>C86/C92</f>
        <v>0.17232755910830308</v>
      </c>
      <c r="D93" s="52">
        <f>D86/D92</f>
        <v>0.14424846625766871</v>
      </c>
      <c r="E93" s="48" t="s">
        <v>19</v>
      </c>
      <c r="F93" s="48" t="s">
        <v>512</v>
      </c>
      <c r="G93" s="48" t="s">
        <v>513</v>
      </c>
    </row>
    <row r="94" spans="1:7" ht="24" customHeight="1">
      <c r="A94" s="38" t="s">
        <v>514</v>
      </c>
      <c r="B94" s="44">
        <f>'Managerial BS'!B29+'Managerial BS'!B63</f>
        <v>8493</v>
      </c>
      <c r="C94" s="44">
        <f>'Managerial BS'!C29+'Managerial BS'!C63</f>
        <v>6760</v>
      </c>
      <c r="D94" s="44">
        <f>'Managerial BS'!D29+'Managerial BS'!D63</f>
        <v>5535</v>
      </c>
      <c r="E94" s="38" t="s">
        <v>19</v>
      </c>
      <c r="F94" s="38" t="s">
        <v>515</v>
      </c>
      <c r="G94" s="38" t="s">
        <v>516</v>
      </c>
    </row>
    <row r="95" spans="1:7" ht="24" customHeight="1">
      <c r="A95" s="38" t="s">
        <v>517</v>
      </c>
      <c r="B95" s="43" t="str">
        <f>IF(B129="","",B129)</f>
        <v/>
      </c>
      <c r="C95" s="43" t="str">
        <f>IF(C129="","",C129)</f>
        <v/>
      </c>
      <c r="D95" s="43" t="str">
        <f>IF(D129="","",D129)</f>
        <v/>
      </c>
      <c r="E95" s="55" t="s">
        <v>518</v>
      </c>
      <c r="F95" s="55" t="s">
        <v>519</v>
      </c>
      <c r="G95" s="55" t="s">
        <v>520</v>
      </c>
    </row>
    <row r="96" spans="1:7" ht="24" customHeight="1">
      <c r="A96" s="38" t="s">
        <v>521</v>
      </c>
      <c r="B96" s="43" t="str">
        <f>IF(B95="","",B95*(1-B82))</f>
        <v/>
      </c>
      <c r="C96" s="43" t="str">
        <f>IF(C95="","",C95*(1-C82))</f>
        <v/>
      </c>
      <c r="D96" s="43" t="str">
        <f>IF(D95="","",D95*(1-D82))</f>
        <v/>
      </c>
      <c r="E96" s="55" t="s">
        <v>19</v>
      </c>
      <c r="F96" s="55" t="s">
        <v>522</v>
      </c>
      <c r="G96" s="55" t="s">
        <v>523</v>
      </c>
    </row>
    <row r="97" spans="1:7" ht="24" customHeight="1">
      <c r="A97" s="38" t="s">
        <v>524</v>
      </c>
      <c r="B97" s="45" t="str">
        <f>IF(B95="","",B94*B95*(1-B82))</f>
        <v/>
      </c>
      <c r="C97" s="45" t="str">
        <f>IF(C95="","",C94*C95*(1-C82))</f>
        <v/>
      </c>
      <c r="D97" s="45" t="str">
        <f>IF(D95="","",D94*D95*(1-D82))</f>
        <v/>
      </c>
      <c r="E97" s="55" t="s">
        <v>19</v>
      </c>
      <c r="F97" s="55" t="s">
        <v>525</v>
      </c>
      <c r="G97" s="55" t="s">
        <v>523</v>
      </c>
    </row>
    <row r="98" spans="1:7" ht="24" customHeight="1">
      <c r="A98" s="38" t="s">
        <v>526</v>
      </c>
      <c r="B98" s="43" t="str">
        <f>IF(B95="","",(B86+B97)/'Managerial BS'!B39)</f>
        <v/>
      </c>
      <c r="C98" s="43" t="str">
        <f>IF(C95="","",(C86+C97)/'Managerial BS'!C39)</f>
        <v/>
      </c>
      <c r="D98" s="43" t="str">
        <f>IF(D95="","",(D86+D97)/'Managerial BS'!D39)</f>
        <v/>
      </c>
      <c r="E98" s="55" t="s">
        <v>19</v>
      </c>
      <c r="F98" s="55" t="s">
        <v>527</v>
      </c>
      <c r="G98" s="55" t="s">
        <v>523</v>
      </c>
    </row>
    <row r="99" spans="1:7" ht="24" customHeight="1">
      <c r="A99" s="38" t="s">
        <v>528</v>
      </c>
      <c r="B99" s="43" t="str">
        <f>IF(B95="","",B98+(B98-B96)*B94/B92)</f>
        <v/>
      </c>
      <c r="C99" s="43" t="str">
        <f>IF(C95="","",C98+(C98-C96)*C94/C92)</f>
        <v/>
      </c>
      <c r="D99" s="43" t="str">
        <f>IF(D95="","",D98+(D98-D96)*D94/D92)</f>
        <v/>
      </c>
      <c r="E99" s="55" t="s">
        <v>19</v>
      </c>
      <c r="F99" s="55" t="s">
        <v>529</v>
      </c>
      <c r="G99" s="55" t="s">
        <v>523</v>
      </c>
    </row>
    <row r="100" spans="1:7" ht="24" customHeight="1">
      <c r="A100" s="38" t="s">
        <v>530</v>
      </c>
      <c r="B100" s="43" t="str">
        <f>IF(B95="","",B99-B93)</f>
        <v/>
      </c>
      <c r="C100" s="43" t="str">
        <f>IF(C95="","",C99-C93)</f>
        <v/>
      </c>
      <c r="D100" s="43" t="str">
        <f>IF(D95="","",D99-D93)</f>
        <v/>
      </c>
      <c r="E100" s="55" t="s">
        <v>19</v>
      </c>
      <c r="F100" s="55" t="s">
        <v>531</v>
      </c>
      <c r="G100" s="55" t="s">
        <v>523</v>
      </c>
    </row>
    <row r="101" spans="1:7" ht="24" customHeight="1">
      <c r="A101" s="38" t="s">
        <v>532</v>
      </c>
      <c r="B101" s="43">
        <f>B86/B60</f>
        <v>0.20205246153971668</v>
      </c>
      <c r="C101" s="43">
        <f>C86/C60</f>
        <v>0.20351247909923453</v>
      </c>
      <c r="D101" s="43">
        <f>D86/D60</f>
        <v>0.16915439139521293</v>
      </c>
      <c r="E101" s="38" t="s">
        <v>19</v>
      </c>
      <c r="F101" s="38" t="s">
        <v>533</v>
      </c>
      <c r="G101" s="38" t="s">
        <v>534</v>
      </c>
    </row>
    <row r="102" spans="1:7" ht="24" customHeight="1">
      <c r="A102" s="38" t="s">
        <v>535</v>
      </c>
      <c r="B102" s="43">
        <f>-B89/B60</f>
        <v>-1.7737938867843115E-2</v>
      </c>
      <c r="C102" s="43">
        <f>-C89/C60</f>
        <v>-2.3221709184064795E-2</v>
      </c>
      <c r="D102" s="43">
        <f>-D89/D60</f>
        <v>-1.7739037299872518E-2</v>
      </c>
      <c r="E102" s="38" t="s">
        <v>19</v>
      </c>
      <c r="F102" s="38" t="s">
        <v>536</v>
      </c>
      <c r="G102" s="38" t="s">
        <v>537</v>
      </c>
    </row>
    <row r="103" spans="1:7" ht="24" customHeight="1">
      <c r="A103" s="48" t="s">
        <v>538</v>
      </c>
      <c r="B103" s="52">
        <f>B101+B102</f>
        <v>0.18431452267187357</v>
      </c>
      <c r="C103" s="52">
        <f>C101+C102</f>
        <v>0.18029076991516974</v>
      </c>
      <c r="D103" s="52">
        <f>D101+D102</f>
        <v>0.1514153540953404</v>
      </c>
      <c r="E103" s="48" t="s">
        <v>19</v>
      </c>
      <c r="F103" s="48" t="s">
        <v>539</v>
      </c>
      <c r="G103" s="48" t="s">
        <v>540</v>
      </c>
    </row>
    <row r="104" spans="1:7" ht="24" customHeight="1">
      <c r="A104" s="38" t="s">
        <v>467</v>
      </c>
      <c r="B104" s="43">
        <f>B71/B91</f>
        <v>0.75960983982678121</v>
      </c>
      <c r="C104" s="43">
        <f>C71/C91</f>
        <v>1.2409964285638317</v>
      </c>
      <c r="D104" s="43">
        <f>D71/D91</f>
        <v>1.0822939814351398</v>
      </c>
      <c r="E104" s="38" t="s">
        <v>19</v>
      </c>
      <c r="F104" s="38" t="s">
        <v>541</v>
      </c>
      <c r="G104" s="38" t="s">
        <v>542</v>
      </c>
    </row>
    <row r="105" spans="1:7" ht="24" customHeight="1">
      <c r="A105" s="41" t="s">
        <v>543</v>
      </c>
      <c r="B105" s="53">
        <f>B103*B104</f>
        <v>0.1400071250445315</v>
      </c>
      <c r="C105" s="53">
        <f>C103*C104</f>
        <v>0.22374020156774915</v>
      </c>
      <c r="D105" s="53">
        <f>D103*D104</f>
        <v>0.16387592643425747</v>
      </c>
      <c r="E105" s="41" t="s">
        <v>19</v>
      </c>
      <c r="F105" s="41" t="s">
        <v>544</v>
      </c>
      <c r="G105" s="41" t="s">
        <v>545</v>
      </c>
    </row>
    <row r="106" spans="1:7" ht="24" customHeight="1">
      <c r="A106" s="48" t="s">
        <v>473</v>
      </c>
      <c r="B106" s="54">
        <f>B74</f>
        <v>0.14000712504453153</v>
      </c>
      <c r="C106" s="54">
        <f>C74</f>
        <v>0.22374020156774915</v>
      </c>
      <c r="D106" s="54">
        <f>D74</f>
        <v>0.16387592643425747</v>
      </c>
      <c r="E106" s="48" t="s">
        <v>19</v>
      </c>
      <c r="F106" s="48" t="s">
        <v>474</v>
      </c>
      <c r="G106" s="48" t="s">
        <v>386</v>
      </c>
    </row>
    <row r="107" spans="1:7" ht="24" customHeight="1">
      <c r="A107" s="48" t="s">
        <v>387</v>
      </c>
      <c r="B107" s="52">
        <f>B105-B106</f>
        <v>0</v>
      </c>
      <c r="C107" s="52">
        <f>C105-C106</f>
        <v>0</v>
      </c>
      <c r="D107" s="52">
        <f>D105-D106</f>
        <v>0</v>
      </c>
      <c r="E107" s="48" t="s">
        <v>19</v>
      </c>
      <c r="F107" s="48" t="s">
        <v>546</v>
      </c>
      <c r="G107" s="48" t="s">
        <v>344</v>
      </c>
    </row>
    <row r="108" spans="1:7" ht="24" customHeight="1">
      <c r="A108" s="38" t="s">
        <v>547</v>
      </c>
      <c r="B108" s="51" t="str">
        <f>IF(B95="","STOP — rate input required","Calculated")</f>
        <v>STOP — rate input required</v>
      </c>
      <c r="C108" s="51" t="str">
        <f>IF(C95="","STOP — rate input required","Calculated")</f>
        <v>STOP — rate input required</v>
      </c>
      <c r="D108" s="51" t="str">
        <f>IF(D95="","STOP — rate input required","Calculated")</f>
        <v>STOP — rate input required</v>
      </c>
      <c r="E108" s="56" t="s">
        <v>19</v>
      </c>
      <c r="F108" s="56" t="s">
        <v>548</v>
      </c>
      <c r="G108" s="56" t="s">
        <v>549</v>
      </c>
    </row>
    <row r="109" spans="1:7" ht="24" customHeight="1">
      <c r="A109" s="38"/>
      <c r="B109" s="39"/>
      <c r="C109" s="39"/>
      <c r="D109" s="39"/>
      <c r="E109" s="38"/>
      <c r="F109" s="38"/>
      <c r="G109" s="38"/>
    </row>
    <row r="110" spans="1:7" ht="26.75" customHeight="1">
      <c r="A110" s="89" t="s">
        <v>550</v>
      </c>
      <c r="B110" s="91"/>
      <c r="C110" s="91"/>
      <c r="D110" s="91"/>
      <c r="E110" s="89"/>
      <c r="F110" s="89"/>
      <c r="G110" s="89"/>
    </row>
    <row r="111" spans="1:7" ht="45.25" customHeight="1">
      <c r="A111" s="87" t="s">
        <v>551</v>
      </c>
      <c r="B111" s="92"/>
      <c r="C111" s="92"/>
      <c r="D111" s="92"/>
      <c r="E111" s="87"/>
      <c r="F111" s="87"/>
      <c r="G111" s="87"/>
    </row>
    <row r="112" spans="1:7" ht="37.25" customHeight="1">
      <c r="A112" s="35" t="s">
        <v>552</v>
      </c>
      <c r="B112" s="37" t="s">
        <v>553</v>
      </c>
      <c r="C112" s="37" t="s">
        <v>554</v>
      </c>
      <c r="D112" s="37" t="s">
        <v>555</v>
      </c>
      <c r="E112" s="35" t="s">
        <v>8</v>
      </c>
      <c r="F112" s="35" t="s">
        <v>190</v>
      </c>
      <c r="G112" s="35" t="s">
        <v>11</v>
      </c>
    </row>
    <row r="113" spans="1:7" ht="24" customHeight="1">
      <c r="A113" s="38" t="s">
        <v>556</v>
      </c>
      <c r="B113" s="43">
        <f>C74</f>
        <v>0.22374020156774915</v>
      </c>
      <c r="C113" s="43">
        <f>D74</f>
        <v>0.16387592643425747</v>
      </c>
      <c r="D113" s="39" t="s">
        <v>557</v>
      </c>
      <c r="E113" s="38" t="s">
        <v>19</v>
      </c>
      <c r="F113" s="38" t="s">
        <v>558</v>
      </c>
      <c r="G113" s="38" t="s">
        <v>559</v>
      </c>
    </row>
    <row r="114" spans="1:7" ht="24" customHeight="1">
      <c r="A114" s="38" t="s">
        <v>560</v>
      </c>
      <c r="B114" s="43">
        <f>(B62/B60-C62/C60)*C72</f>
        <v>-1.1421228809030314E-2</v>
      </c>
      <c r="C114" s="43">
        <f>(C62/C60-D62/D60)*D72</f>
        <v>5.2263766928990048E-2</v>
      </c>
      <c r="D114" s="39" t="s">
        <v>561</v>
      </c>
      <c r="E114" s="38" t="s">
        <v>19</v>
      </c>
      <c r="F114" s="38" t="s">
        <v>558</v>
      </c>
      <c r="G114" s="38" t="s">
        <v>562</v>
      </c>
    </row>
    <row r="115" spans="1:7" ht="24" customHeight="1">
      <c r="A115" s="38" t="s">
        <v>563</v>
      </c>
      <c r="B115" s="43">
        <f>(B63/B60-C63/C60)*C72</f>
        <v>7.6489326757527209E-3</v>
      </c>
      <c r="C115" s="43">
        <f>(C63/C60-D63/D60)*D72</f>
        <v>-7.6543564564831362E-3</v>
      </c>
      <c r="D115" s="39" t="s">
        <v>564</v>
      </c>
      <c r="E115" s="38" t="s">
        <v>19</v>
      </c>
      <c r="F115" s="38" t="s">
        <v>558</v>
      </c>
      <c r="G115" s="38" t="s">
        <v>562</v>
      </c>
    </row>
    <row r="116" spans="1:7" ht="24" customHeight="1">
      <c r="A116" s="48" t="s">
        <v>565</v>
      </c>
      <c r="B116" s="52">
        <f>SUM(B114:B115)</f>
        <v>-3.7722961332775926E-3</v>
      </c>
      <c r="C116" s="52">
        <f>SUM(C114:C115)</f>
        <v>4.4609410472506911E-2</v>
      </c>
      <c r="D116" s="57" t="s">
        <v>566</v>
      </c>
      <c r="E116" s="48" t="s">
        <v>19</v>
      </c>
      <c r="F116" s="48" t="s">
        <v>558</v>
      </c>
      <c r="G116" s="48" t="s">
        <v>567</v>
      </c>
    </row>
    <row r="117" spans="1:7" ht="24" customHeight="1">
      <c r="A117" s="38" t="s">
        <v>568</v>
      </c>
      <c r="B117" s="43">
        <f>B69*(B72-C72)</f>
        <v>-7.9960780389940062E-2</v>
      </c>
      <c r="C117" s="43">
        <f>C69*(C72-D72)</f>
        <v>1.5254864660984789E-2</v>
      </c>
      <c r="D117" s="39" t="s">
        <v>569</v>
      </c>
      <c r="E117" s="38" t="s">
        <v>19</v>
      </c>
      <c r="F117" s="38" t="s">
        <v>558</v>
      </c>
      <c r="G117" s="38" t="s">
        <v>570</v>
      </c>
    </row>
    <row r="118" spans="1:7" ht="24" customHeight="1">
      <c r="A118" s="41" t="s">
        <v>571</v>
      </c>
      <c r="B118" s="53">
        <f>B116+B117</f>
        <v>-8.3733076523217653E-2</v>
      </c>
      <c r="C118" s="53">
        <f>C116+C117</f>
        <v>5.9864275133491698E-2</v>
      </c>
      <c r="D118" s="47" t="s">
        <v>572</v>
      </c>
      <c r="E118" s="41" t="s">
        <v>19</v>
      </c>
      <c r="F118" s="41" t="s">
        <v>558</v>
      </c>
      <c r="G118" s="41" t="s">
        <v>573</v>
      </c>
    </row>
    <row r="119" spans="1:7" ht="24" customHeight="1">
      <c r="A119" s="48" t="s">
        <v>574</v>
      </c>
      <c r="B119" s="52">
        <f>B74-C74</f>
        <v>-8.3733076523217626E-2</v>
      </c>
      <c r="C119" s="52">
        <f>C74-D74</f>
        <v>5.9864275133491684E-2</v>
      </c>
      <c r="D119" s="57" t="s">
        <v>575</v>
      </c>
      <c r="E119" s="48" t="s">
        <v>19</v>
      </c>
      <c r="F119" s="48" t="s">
        <v>558</v>
      </c>
      <c r="G119" s="48" t="s">
        <v>576</v>
      </c>
    </row>
    <row r="120" spans="1:7" ht="24" customHeight="1">
      <c r="A120" s="48" t="s">
        <v>577</v>
      </c>
      <c r="B120" s="52">
        <f>B118-B119</f>
        <v>0</v>
      </c>
      <c r="C120" s="52">
        <f>C118-C119</f>
        <v>0</v>
      </c>
      <c r="D120" s="57" t="s">
        <v>578</v>
      </c>
      <c r="E120" s="48" t="s">
        <v>19</v>
      </c>
      <c r="F120" s="48" t="s">
        <v>558</v>
      </c>
      <c r="G120" s="48" t="s">
        <v>344</v>
      </c>
    </row>
    <row r="121" spans="1:7" ht="24" customHeight="1">
      <c r="A121" s="38"/>
      <c r="B121" s="39"/>
      <c r="C121" s="39"/>
      <c r="D121" s="39"/>
      <c r="E121" s="38"/>
      <c r="F121" s="38"/>
      <c r="G121" s="38"/>
    </row>
    <row r="122" spans="1:7" ht="26.75" customHeight="1">
      <c r="A122" s="89" t="s">
        <v>579</v>
      </c>
      <c r="B122" s="90"/>
      <c r="C122" s="90"/>
      <c r="D122" s="90"/>
      <c r="E122" s="89"/>
      <c r="F122" s="89"/>
      <c r="G122" s="89"/>
    </row>
    <row r="123" spans="1:7" ht="37.25" customHeight="1">
      <c r="A123" s="35" t="s">
        <v>329</v>
      </c>
      <c r="B123" s="36" t="s">
        <v>330</v>
      </c>
      <c r="C123" s="36" t="s">
        <v>331</v>
      </c>
      <c r="D123" s="36" t="s">
        <v>332</v>
      </c>
      <c r="E123" s="35" t="s">
        <v>8</v>
      </c>
      <c r="F123" s="35" t="s">
        <v>190</v>
      </c>
      <c r="G123" s="35" t="s">
        <v>11</v>
      </c>
    </row>
    <row r="124" spans="1:7" ht="24" customHeight="1">
      <c r="A124" s="38" t="s">
        <v>580</v>
      </c>
      <c r="B124" s="58">
        <v>1684</v>
      </c>
      <c r="C124" s="58">
        <v>1270</v>
      </c>
      <c r="D124" s="58">
        <v>897</v>
      </c>
      <c r="E124" s="38" t="s">
        <v>19</v>
      </c>
      <c r="F124" s="38" t="s">
        <v>155</v>
      </c>
      <c r="G124" s="38" t="s">
        <v>356</v>
      </c>
    </row>
    <row r="125" spans="1:7" ht="24" customHeight="1">
      <c r="A125" s="38" t="s">
        <v>581</v>
      </c>
      <c r="B125" s="58">
        <v>1176</v>
      </c>
      <c r="C125" s="58">
        <v>840</v>
      </c>
      <c r="D125" s="58">
        <v>630</v>
      </c>
      <c r="E125" s="38" t="s">
        <v>19</v>
      </c>
      <c r="F125" s="38" t="s">
        <v>155</v>
      </c>
      <c r="G125" s="38" t="s">
        <v>582</v>
      </c>
    </row>
    <row r="126" spans="1:7" ht="24" customHeight="1">
      <c r="A126" s="38" t="s">
        <v>487</v>
      </c>
      <c r="B126" s="59">
        <v>0.3</v>
      </c>
      <c r="C126" s="59">
        <v>0.3</v>
      </c>
      <c r="D126" s="59">
        <v>0.3</v>
      </c>
      <c r="E126" s="38" t="s">
        <v>19</v>
      </c>
      <c r="F126" s="38" t="s">
        <v>583</v>
      </c>
      <c r="G126" s="38" t="s">
        <v>584</v>
      </c>
    </row>
    <row r="127" spans="1:7" ht="24" customHeight="1">
      <c r="A127" s="38" t="s">
        <v>585</v>
      </c>
      <c r="B127" s="58">
        <v>126</v>
      </c>
      <c r="C127" s="58">
        <v>552</v>
      </c>
      <c r="D127" s="58">
        <v>410</v>
      </c>
      <c r="E127" s="38" t="s">
        <v>19</v>
      </c>
      <c r="F127" s="38" t="s">
        <v>586</v>
      </c>
      <c r="G127" s="38" t="s">
        <v>587</v>
      </c>
    </row>
    <row r="128" spans="1:7" ht="24" customHeight="1">
      <c r="A128" s="38" t="s">
        <v>588</v>
      </c>
      <c r="B128" s="39"/>
      <c r="C128" s="39"/>
      <c r="D128" s="39"/>
      <c r="E128" s="56" t="s">
        <v>589</v>
      </c>
      <c r="F128" s="56" t="s">
        <v>590</v>
      </c>
      <c r="G128" s="56" t="s">
        <v>591</v>
      </c>
    </row>
    <row r="129" spans="1:7" ht="24" customHeight="1">
      <c r="A129" s="38" t="s">
        <v>592</v>
      </c>
      <c r="B129" s="60"/>
      <c r="C129" s="60"/>
      <c r="D129" s="60"/>
      <c r="E129" s="56" t="s">
        <v>593</v>
      </c>
      <c r="F129" s="56" t="s">
        <v>594</v>
      </c>
      <c r="G129" s="56" t="s">
        <v>595</v>
      </c>
    </row>
    <row r="130" spans="1:7" ht="56" customHeight="1">
      <c r="A130" s="87" t="s">
        <v>596</v>
      </c>
      <c r="B130" s="88"/>
      <c r="C130" s="88"/>
      <c r="D130" s="88"/>
      <c r="E130" s="87"/>
      <c r="F130" s="87"/>
      <c r="G130" s="87"/>
    </row>
  </sheetData>
  <mergeCells count="14">
    <mergeCell ref="A130:G130"/>
    <mergeCell ref="A33:G33"/>
    <mergeCell ref="A48:G48"/>
    <mergeCell ref="A77:G77"/>
    <mergeCell ref="A110:G110"/>
    <mergeCell ref="A122:G122"/>
    <mergeCell ref="A49:G49"/>
    <mergeCell ref="A78:G78"/>
    <mergeCell ref="A111:G111"/>
    <mergeCell ref="A1:G1"/>
    <mergeCell ref="A2:G2"/>
    <mergeCell ref="A3:G3"/>
    <mergeCell ref="A5:G5"/>
    <mergeCell ref="A12:G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1"/>
  <sheetViews>
    <sheetView workbookViewId="0"/>
  </sheetViews>
  <sheetFormatPr baseColWidth="10" defaultColWidth="8.83203125" defaultRowHeight="14"/>
  <cols>
    <col min="1" max="1" width="44" customWidth="1"/>
    <col min="2" max="2" width="14" customWidth="1"/>
    <col min="3" max="4" width="16" customWidth="1"/>
    <col min="5" max="5" width="18" customWidth="1"/>
    <col min="6" max="6" width="26" customWidth="1"/>
    <col min="7" max="7" width="52" customWidth="1"/>
  </cols>
  <sheetData>
    <row r="1" spans="1:7" ht="32" customHeight="1">
      <c r="A1" s="93" t="s">
        <v>597</v>
      </c>
      <c r="B1" s="94"/>
      <c r="C1" s="94"/>
      <c r="D1" s="94"/>
      <c r="E1" s="93"/>
      <c r="F1" s="93"/>
      <c r="G1" s="93"/>
    </row>
    <row r="2" spans="1:7" ht="24" customHeight="1">
      <c r="A2" s="87" t="s">
        <v>598</v>
      </c>
      <c r="B2" s="88"/>
      <c r="C2" s="88"/>
      <c r="D2" s="88"/>
      <c r="E2" s="87"/>
      <c r="F2" s="87"/>
      <c r="G2" s="87"/>
    </row>
    <row r="3" spans="1:7" ht="56" customHeight="1">
      <c r="A3" s="87" t="s">
        <v>599</v>
      </c>
      <c r="B3" s="88"/>
      <c r="C3" s="88"/>
      <c r="D3" s="88"/>
      <c r="E3" s="87"/>
      <c r="F3" s="87"/>
      <c r="G3" s="87"/>
    </row>
    <row r="4" spans="1:7">
      <c r="A4" s="38"/>
      <c r="B4" s="39"/>
      <c r="C4" s="39"/>
      <c r="D4" s="39"/>
      <c r="E4" s="38"/>
      <c r="F4" s="38"/>
      <c r="G4" s="38"/>
    </row>
    <row r="5" spans="1:7" ht="25.25" customHeight="1">
      <c r="A5" s="95" t="s">
        <v>600</v>
      </c>
      <c r="B5" s="96"/>
      <c r="C5" s="96"/>
      <c r="D5" s="96"/>
      <c r="E5" s="95"/>
      <c r="F5" s="95"/>
      <c r="G5" s="95"/>
    </row>
    <row r="6" spans="1:7" ht="37.25" customHeight="1">
      <c r="A6" s="61" t="s">
        <v>601</v>
      </c>
      <c r="B6" s="62" t="s">
        <v>602</v>
      </c>
      <c r="C6" s="62" t="s">
        <v>603</v>
      </c>
      <c r="D6" s="62" t="s">
        <v>604</v>
      </c>
      <c r="E6" s="61" t="s">
        <v>605</v>
      </c>
      <c r="F6" s="61" t="s">
        <v>8</v>
      </c>
      <c r="G6" s="61" t="s">
        <v>190</v>
      </c>
    </row>
    <row r="7" spans="1:7" ht="52">
      <c r="A7" s="38" t="s">
        <v>606</v>
      </c>
      <c r="B7" s="63">
        <v>2025</v>
      </c>
      <c r="C7" s="65">
        <v>0.10911078717201166</v>
      </c>
      <c r="D7" s="43">
        <f>B28</f>
        <v>0.10889212827988339</v>
      </c>
      <c r="E7" s="64">
        <f t="shared" ref="E7:E12" si="0">IF(C7="","",(D7-C7)*100)</f>
        <v>-2.1865889212827061E-2</v>
      </c>
      <c r="F7" s="38" t="str">
        <f>IF(C7="","AGENT",IF(ABS(D7-C7)&lt;=0.0001,"MATCH","WORKBOOK DEFECT"))</f>
        <v>WORKBOOK DEFECT</v>
      </c>
      <c r="G7" s="72" t="s">
        <v>607</v>
      </c>
    </row>
    <row r="8" spans="1:7" ht="52">
      <c r="A8" s="38" t="s">
        <v>606</v>
      </c>
      <c r="B8" s="63">
        <v>2024</v>
      </c>
      <c r="C8" s="65">
        <v>9.743178170144462E-2</v>
      </c>
      <c r="D8" s="43">
        <f>C28</f>
        <v>9.7913322632423749E-2</v>
      </c>
      <c r="E8" s="64">
        <f t="shared" si="0"/>
        <v>4.8154093097912964E-2</v>
      </c>
      <c r="F8" s="38" t="str">
        <f>IF(C8="","AGENT",IF(ABS(D8-C8)&lt;=0.0001,"MATCH","WORKBOOK DEFECT"))</f>
        <v>WORKBOOK DEFECT</v>
      </c>
      <c r="G8" s="72" t="s">
        <v>608</v>
      </c>
    </row>
    <row r="9" spans="1:7" ht="26">
      <c r="A9" s="38" t="s">
        <v>606</v>
      </c>
      <c r="B9" s="63">
        <v>2023</v>
      </c>
      <c r="C9" s="65"/>
      <c r="D9" s="43">
        <f>D28</f>
        <v>7.7867654224734434E-2</v>
      </c>
      <c r="E9" s="64" t="str">
        <f t="shared" si="0"/>
        <v/>
      </c>
      <c r="F9" s="38" t="str">
        <f>IF(C9="","AGENT",IF(ABS(D9-C9)&lt;=0.0001,"MATCH","METHOD DIFFERENCE"))</f>
        <v>AGENT</v>
      </c>
      <c r="G9" s="72" t="s">
        <v>609</v>
      </c>
    </row>
    <row r="10" spans="1:7" ht="26">
      <c r="A10" s="38" t="s">
        <v>610</v>
      </c>
      <c r="B10" s="63">
        <v>2025</v>
      </c>
      <c r="C10" s="65">
        <v>0.26674982181040624</v>
      </c>
      <c r="D10" s="43">
        <f>B48</f>
        <v>0.26621525302922311</v>
      </c>
      <c r="E10" s="64">
        <f t="shared" si="0"/>
        <v>-5.3456878118313123E-2</v>
      </c>
      <c r="F10" s="38" t="str">
        <f>IF(C10="","AGENT",IF(ABS(D10-C10)&lt;=0.0001,"MATCH","WORKBOOK DEFECT"))</f>
        <v>WORKBOOK DEFECT</v>
      </c>
      <c r="G10" s="72" t="s">
        <v>611</v>
      </c>
    </row>
    <row r="11" spans="1:7" ht="26">
      <c r="A11" s="38" t="s">
        <v>610</v>
      </c>
      <c r="B11" s="63">
        <v>2024</v>
      </c>
      <c r="C11" s="65">
        <v>0.2046182369796056</v>
      </c>
      <c r="D11" s="43">
        <f>C48</f>
        <v>0.20562952974886228</v>
      </c>
      <c r="E11" s="64">
        <f t="shared" si="0"/>
        <v>0.10112927692566831</v>
      </c>
      <c r="F11" s="38" t="str">
        <f>IF(C11="","AGENT",IF(ABS(D11-C11)&lt;=0.0001,"MATCH","WORKBOOK DEFECT"))</f>
        <v>WORKBOOK DEFECT</v>
      </c>
      <c r="G11" s="72" t="s">
        <v>612</v>
      </c>
    </row>
    <row r="12" spans="1:7" ht="26">
      <c r="A12" s="38" t="s">
        <v>610</v>
      </c>
      <c r="B12" s="63">
        <v>2023</v>
      </c>
      <c r="C12" s="65"/>
      <c r="D12" s="43">
        <f>D48</f>
        <v>0.16151202749140894</v>
      </c>
      <c r="E12" s="64" t="str">
        <f t="shared" si="0"/>
        <v/>
      </c>
      <c r="F12" s="38" t="str">
        <f>IF(C12="","AGENT",IF(ABS(D12-C12)&lt;=0.0001,"MATCH","METHOD DIFFERENCE"))</f>
        <v>AGENT</v>
      </c>
      <c r="G12" s="72" t="s">
        <v>609</v>
      </c>
    </row>
    <row r="13" spans="1:7">
      <c r="A13" s="38"/>
      <c r="B13" s="39"/>
      <c r="C13" s="39"/>
      <c r="D13" s="39"/>
      <c r="E13" s="38"/>
      <c r="F13" s="38"/>
      <c r="G13" s="38"/>
    </row>
    <row r="14" spans="1:7" ht="25.25" customHeight="1">
      <c r="A14" s="95" t="s">
        <v>613</v>
      </c>
      <c r="B14" s="96"/>
      <c r="C14" s="96"/>
      <c r="D14" s="96"/>
      <c r="E14" s="95"/>
      <c r="F14" s="95"/>
      <c r="G14" s="95"/>
    </row>
    <row r="15" spans="1:7" ht="37.25" customHeight="1">
      <c r="A15" s="61" t="s">
        <v>329</v>
      </c>
      <c r="B15" s="62" t="s">
        <v>330</v>
      </c>
      <c r="C15" s="62" t="s">
        <v>331</v>
      </c>
      <c r="D15" s="62" t="s">
        <v>332</v>
      </c>
      <c r="E15" s="61" t="s">
        <v>8</v>
      </c>
      <c r="F15" s="61" t="s">
        <v>190</v>
      </c>
      <c r="G15" s="61" t="s">
        <v>11</v>
      </c>
    </row>
    <row r="16" spans="1:7" ht="26">
      <c r="A16" s="38" t="s">
        <v>444</v>
      </c>
      <c r="B16" s="44">
        <f>'Reformulated IS'!B18</f>
        <v>1515</v>
      </c>
      <c r="C16" s="44">
        <f>'Reformulated IS'!C18</f>
        <v>1262</v>
      </c>
      <c r="D16" s="44">
        <f>'Reformulated IS'!D18</f>
        <v>801</v>
      </c>
      <c r="E16" s="38" t="s">
        <v>347</v>
      </c>
      <c r="F16" s="72" t="s">
        <v>614</v>
      </c>
      <c r="G16" s="72" t="s">
        <v>493</v>
      </c>
    </row>
    <row r="17" spans="1:7" ht="26">
      <c r="A17" s="38" t="s">
        <v>257</v>
      </c>
      <c r="B17" s="44">
        <f>'Managerial BS'!B39</f>
        <v>12900</v>
      </c>
      <c r="C17" s="44">
        <f>'Managerial BS'!C39</f>
        <v>12033</v>
      </c>
      <c r="D17" s="44">
        <f>'Managerial BS'!D39</f>
        <v>9807</v>
      </c>
      <c r="E17" s="38" t="s">
        <v>347</v>
      </c>
      <c r="F17" s="72" t="s">
        <v>615</v>
      </c>
      <c r="G17" s="72" t="s">
        <v>616</v>
      </c>
    </row>
    <row r="18" spans="1:7" ht="26">
      <c r="A18" s="38" t="s">
        <v>617</v>
      </c>
      <c r="B18" s="43">
        <f>B16/B17</f>
        <v>0.11744186046511627</v>
      </c>
      <c r="C18" s="43">
        <f>C16/C17</f>
        <v>0.10487825147511011</v>
      </c>
      <c r="D18" s="43">
        <f>D16/D17</f>
        <v>8.1676353624961756E-2</v>
      </c>
      <c r="E18" s="38" t="s">
        <v>19</v>
      </c>
      <c r="F18" s="72" t="s">
        <v>618</v>
      </c>
      <c r="G18" s="72" t="s">
        <v>619</v>
      </c>
    </row>
    <row r="19" spans="1:7" ht="26">
      <c r="A19" s="38" t="s">
        <v>620</v>
      </c>
      <c r="B19" s="43">
        <f>B17/B27</f>
        <v>0.94023323615160348</v>
      </c>
      <c r="C19" s="43">
        <f>C17/C27</f>
        <v>0.96573033707865163</v>
      </c>
      <c r="D19" s="43">
        <f>D17/D27</f>
        <v>0.95575479972712207</v>
      </c>
      <c r="E19" s="38" t="s">
        <v>19</v>
      </c>
      <c r="F19" s="72" t="s">
        <v>621</v>
      </c>
      <c r="G19" s="72" t="s">
        <v>622</v>
      </c>
    </row>
    <row r="20" spans="1:7">
      <c r="A20" s="38" t="s">
        <v>623</v>
      </c>
      <c r="B20" s="43">
        <f>B18*B19</f>
        <v>0.11042274052478133</v>
      </c>
      <c r="C20" s="43">
        <f>C18*C19</f>
        <v>0.10128410914927768</v>
      </c>
      <c r="D20" s="43">
        <f>D18*D19</f>
        <v>7.806256700126693E-2</v>
      </c>
      <c r="E20" s="38" t="s">
        <v>19</v>
      </c>
      <c r="F20" s="72" t="s">
        <v>624</v>
      </c>
      <c r="G20" s="72" t="s">
        <v>625</v>
      </c>
    </row>
    <row r="21" spans="1:7" ht="26">
      <c r="A21" s="38" t="s">
        <v>626</v>
      </c>
      <c r="B21" s="44">
        <f>'Reformulated IS'!B21</f>
        <v>-21</v>
      </c>
      <c r="C21" s="44">
        <f>'Reformulated IS'!C21</f>
        <v>-42</v>
      </c>
      <c r="D21" s="44">
        <f>'Reformulated IS'!D21</f>
        <v>-2</v>
      </c>
      <c r="E21" s="38" t="s">
        <v>347</v>
      </c>
      <c r="F21" s="72" t="s">
        <v>627</v>
      </c>
      <c r="G21" s="72" t="s">
        <v>628</v>
      </c>
    </row>
    <row r="22" spans="1:7" ht="26">
      <c r="A22" s="38" t="s">
        <v>272</v>
      </c>
      <c r="B22" s="44">
        <f>'Managerial BS'!B46</f>
        <v>820</v>
      </c>
      <c r="C22" s="44">
        <f>'Managerial BS'!C46</f>
        <v>427</v>
      </c>
      <c r="D22" s="44">
        <f>'Managerial BS'!D46</f>
        <v>454</v>
      </c>
      <c r="E22" s="38" t="s">
        <v>347</v>
      </c>
      <c r="F22" s="72" t="s">
        <v>629</v>
      </c>
      <c r="G22" s="72" t="s">
        <v>630</v>
      </c>
    </row>
    <row r="23" spans="1:7" ht="26">
      <c r="A23" s="38" t="s">
        <v>631</v>
      </c>
      <c r="B23" s="43">
        <f>IF(B22=0,"",B21/B22)</f>
        <v>-2.5609756097560974E-2</v>
      </c>
      <c r="C23" s="43">
        <f>IF(C22=0,"",C21/C22)</f>
        <v>-9.8360655737704916E-2</v>
      </c>
      <c r="D23" s="43">
        <f>IF(D22=0,"",D21/D22)</f>
        <v>-4.4052863436123352E-3</v>
      </c>
      <c r="E23" s="38" t="s">
        <v>19</v>
      </c>
      <c r="F23" s="72" t="s">
        <v>632</v>
      </c>
      <c r="G23" s="72" t="s">
        <v>633</v>
      </c>
    </row>
    <row r="24" spans="1:7" ht="26">
      <c r="A24" s="38" t="s">
        <v>634</v>
      </c>
      <c r="B24" s="43">
        <f>B22/B27</f>
        <v>5.9766763848396499E-2</v>
      </c>
      <c r="C24" s="43">
        <f>C22/C27</f>
        <v>3.4269662921348316E-2</v>
      </c>
      <c r="D24" s="43">
        <f>D22/D27</f>
        <v>4.4245200272877885E-2</v>
      </c>
      <c r="E24" s="38" t="s">
        <v>19</v>
      </c>
      <c r="F24" s="72" t="s">
        <v>635</v>
      </c>
      <c r="G24" s="72" t="s">
        <v>636</v>
      </c>
    </row>
    <row r="25" spans="1:7" ht="26">
      <c r="A25" s="38" t="s">
        <v>637</v>
      </c>
      <c r="B25" s="43">
        <f>B23*B24</f>
        <v>-1.5306122448979591E-3</v>
      </c>
      <c r="C25" s="43">
        <f>C23*C24</f>
        <v>-3.3707865168539327E-3</v>
      </c>
      <c r="D25" s="43">
        <f>D23*D24</f>
        <v>-1.9491277653250171E-4</v>
      </c>
      <c r="E25" s="38" t="s">
        <v>19</v>
      </c>
      <c r="F25" s="72" t="s">
        <v>638</v>
      </c>
      <c r="G25" s="72" t="s">
        <v>639</v>
      </c>
    </row>
    <row r="26" spans="1:7">
      <c r="A26" s="38" t="s">
        <v>640</v>
      </c>
      <c r="B26" s="44">
        <f>'Reformulated IS'!B22</f>
        <v>1494</v>
      </c>
      <c r="C26" s="44">
        <f>'Reformulated IS'!C22</f>
        <v>1220</v>
      </c>
      <c r="D26" s="44">
        <f>'Reformulated IS'!D22</f>
        <v>799</v>
      </c>
      <c r="E26" s="38" t="s">
        <v>347</v>
      </c>
      <c r="F26" s="72" t="s">
        <v>641</v>
      </c>
      <c r="G26" s="72" t="s">
        <v>642</v>
      </c>
    </row>
    <row r="27" spans="1:7" ht="26">
      <c r="A27" s="38" t="s">
        <v>275</v>
      </c>
      <c r="B27" s="44">
        <f>'Managerial BS'!B47</f>
        <v>13720</v>
      </c>
      <c r="C27" s="44">
        <f>'Managerial BS'!C47</f>
        <v>12460</v>
      </c>
      <c r="D27" s="44">
        <f>'Managerial BS'!D47</f>
        <v>10261</v>
      </c>
      <c r="E27" s="38" t="s">
        <v>347</v>
      </c>
      <c r="F27" s="72" t="s">
        <v>643</v>
      </c>
      <c r="G27" s="72" t="s">
        <v>644</v>
      </c>
    </row>
    <row r="28" spans="1:7" ht="26">
      <c r="A28" s="67" t="s">
        <v>645</v>
      </c>
      <c r="B28" s="68">
        <f>B26/B27</f>
        <v>0.10889212827988339</v>
      </c>
      <c r="C28" s="68">
        <f>C26/C27</f>
        <v>9.7913322632423749E-2</v>
      </c>
      <c r="D28" s="68">
        <f>D26/D27</f>
        <v>7.7867654224734434E-2</v>
      </c>
      <c r="E28" s="66" t="s">
        <v>19</v>
      </c>
      <c r="F28" s="73" t="s">
        <v>646</v>
      </c>
      <c r="G28" s="73" t="s">
        <v>647</v>
      </c>
    </row>
    <row r="29" spans="1:7" ht="26">
      <c r="A29" s="67" t="s">
        <v>648</v>
      </c>
      <c r="B29" s="68">
        <f>B20+B25</f>
        <v>0.10889212827988337</v>
      </c>
      <c r="C29" s="68">
        <f>C20+C25</f>
        <v>9.7913322632423749E-2</v>
      </c>
      <c r="D29" s="68">
        <f>D20+D25</f>
        <v>7.7867654224734434E-2</v>
      </c>
      <c r="E29" s="66" t="s">
        <v>19</v>
      </c>
      <c r="F29" s="73" t="s">
        <v>649</v>
      </c>
      <c r="G29" s="73" t="s">
        <v>650</v>
      </c>
    </row>
    <row r="30" spans="1:7" ht="26">
      <c r="A30" s="69" t="s">
        <v>387</v>
      </c>
      <c r="B30" s="70">
        <f>B29-B28</f>
        <v>0</v>
      </c>
      <c r="C30" s="70">
        <f>C29-C28</f>
        <v>0</v>
      </c>
      <c r="D30" s="70">
        <f>D29-D28</f>
        <v>0</v>
      </c>
      <c r="E30" s="69" t="s">
        <v>19</v>
      </c>
      <c r="F30" s="72" t="s">
        <v>651</v>
      </c>
      <c r="G30" s="72" t="s">
        <v>652</v>
      </c>
    </row>
    <row r="31" spans="1:7" ht="26">
      <c r="A31" s="38" t="s">
        <v>653</v>
      </c>
      <c r="B31" s="43">
        <f>B19+B24</f>
        <v>1</v>
      </c>
      <c r="C31" s="43">
        <f>C19+C24</f>
        <v>1</v>
      </c>
      <c r="D31" s="43">
        <f>D19+D24</f>
        <v>1</v>
      </c>
      <c r="E31" s="38" t="s">
        <v>19</v>
      </c>
      <c r="F31" s="72" t="s">
        <v>654</v>
      </c>
      <c r="G31" s="72" t="s">
        <v>655</v>
      </c>
    </row>
    <row r="32" spans="1:7">
      <c r="A32" s="69" t="s">
        <v>656</v>
      </c>
      <c r="B32" s="70">
        <f>B31-1</f>
        <v>0</v>
      </c>
      <c r="C32" s="70">
        <f>C31-1</f>
        <v>0</v>
      </c>
      <c r="D32" s="70">
        <f>D31-1</f>
        <v>0</v>
      </c>
      <c r="E32" s="69" t="s">
        <v>19</v>
      </c>
      <c r="F32" s="72" t="s">
        <v>657</v>
      </c>
      <c r="G32" s="72" t="s">
        <v>652</v>
      </c>
    </row>
    <row r="33" spans="1:7">
      <c r="A33" s="38"/>
      <c r="B33" s="39"/>
      <c r="C33" s="39"/>
      <c r="D33" s="39"/>
      <c r="E33" s="38"/>
      <c r="F33" s="72"/>
      <c r="G33" s="72"/>
    </row>
    <row r="34" spans="1:7" ht="25.25" customHeight="1">
      <c r="A34" s="95" t="s">
        <v>658</v>
      </c>
      <c r="B34" s="96"/>
      <c r="C34" s="96"/>
      <c r="D34" s="96"/>
      <c r="E34" s="95"/>
      <c r="F34" s="97"/>
      <c r="G34" s="97"/>
    </row>
    <row r="35" spans="1:7" ht="37.25" customHeight="1">
      <c r="A35" s="61" t="s">
        <v>329</v>
      </c>
      <c r="B35" s="62" t="s">
        <v>330</v>
      </c>
      <c r="C35" s="62" t="s">
        <v>331</v>
      </c>
      <c r="D35" s="62" t="s">
        <v>332</v>
      </c>
      <c r="E35" s="61" t="s">
        <v>8</v>
      </c>
      <c r="F35" s="74" t="s">
        <v>190</v>
      </c>
      <c r="G35" s="74" t="s">
        <v>11</v>
      </c>
    </row>
    <row r="36" spans="1:7" ht="26">
      <c r="A36" s="38" t="s">
        <v>444</v>
      </c>
      <c r="B36" s="44">
        <f>'Reformulated IS'!B18</f>
        <v>1515</v>
      </c>
      <c r="C36" s="44">
        <f>'Reformulated IS'!C18</f>
        <v>1262</v>
      </c>
      <c r="D36" s="44">
        <f>'Reformulated IS'!D18</f>
        <v>801</v>
      </c>
      <c r="E36" s="38" t="s">
        <v>347</v>
      </c>
      <c r="F36" s="72" t="s">
        <v>614</v>
      </c>
      <c r="G36" s="72" t="s">
        <v>493</v>
      </c>
    </row>
    <row r="37" spans="1:7" ht="26">
      <c r="A37" s="38" t="s">
        <v>260</v>
      </c>
      <c r="B37" s="44">
        <f>'Managerial BS'!B40</f>
        <v>4792</v>
      </c>
      <c r="C37" s="44">
        <f>'Managerial BS'!C40</f>
        <v>5506</v>
      </c>
      <c r="D37" s="44">
        <f>'Managerial BS'!D40</f>
        <v>4493</v>
      </c>
      <c r="E37" s="38" t="s">
        <v>347</v>
      </c>
      <c r="F37" s="72" t="s">
        <v>659</v>
      </c>
      <c r="G37" s="72" t="s">
        <v>660</v>
      </c>
    </row>
    <row r="38" spans="1:7" ht="26">
      <c r="A38" s="38" t="s">
        <v>661</v>
      </c>
      <c r="B38" s="43">
        <f>B36/B37</f>
        <v>0.31615191986644409</v>
      </c>
      <c r="C38" s="43">
        <f>C36/C37</f>
        <v>0.22920450417726118</v>
      </c>
      <c r="D38" s="43">
        <f>D36/D37</f>
        <v>0.17827732027598486</v>
      </c>
      <c r="E38" s="38" t="s">
        <v>19</v>
      </c>
      <c r="F38" s="72" t="s">
        <v>662</v>
      </c>
      <c r="G38" s="72" t="s">
        <v>663</v>
      </c>
    </row>
    <row r="39" spans="1:7" ht="26">
      <c r="A39" s="38" t="s">
        <v>620</v>
      </c>
      <c r="B39" s="43">
        <f>B37/B47</f>
        <v>0.8538845331432644</v>
      </c>
      <c r="C39" s="43">
        <f>C37/C47</f>
        <v>0.92802966458789815</v>
      </c>
      <c r="D39" s="43">
        <f>D37/D47</f>
        <v>0.90822720840913684</v>
      </c>
      <c r="E39" s="38" t="s">
        <v>19</v>
      </c>
      <c r="F39" s="72" t="s">
        <v>664</v>
      </c>
      <c r="G39" s="72" t="s">
        <v>665</v>
      </c>
    </row>
    <row r="40" spans="1:7">
      <c r="A40" s="38" t="s">
        <v>666</v>
      </c>
      <c r="B40" s="43">
        <f>B38*B39</f>
        <v>0.26995723449750536</v>
      </c>
      <c r="C40" s="43">
        <f>C38*C39</f>
        <v>0.2127085791336592</v>
      </c>
      <c r="D40" s="43">
        <f>D38*D39</f>
        <v>0.16191631291691935</v>
      </c>
      <c r="E40" s="38" t="s">
        <v>19</v>
      </c>
      <c r="F40" s="72" t="s">
        <v>624</v>
      </c>
      <c r="G40" s="72" t="s">
        <v>625</v>
      </c>
    </row>
    <row r="41" spans="1:7" ht="26">
      <c r="A41" s="38" t="s">
        <v>626</v>
      </c>
      <c r="B41" s="44">
        <f>'Reformulated IS'!B21</f>
        <v>-21</v>
      </c>
      <c r="C41" s="44">
        <f>'Reformulated IS'!C21</f>
        <v>-42</v>
      </c>
      <c r="D41" s="44">
        <f>'Reformulated IS'!D21</f>
        <v>-2</v>
      </c>
      <c r="E41" s="38" t="s">
        <v>347</v>
      </c>
      <c r="F41" s="72" t="s">
        <v>627</v>
      </c>
      <c r="G41" s="72" t="s">
        <v>628</v>
      </c>
    </row>
    <row r="42" spans="1:7" ht="26">
      <c r="A42" s="38" t="s">
        <v>272</v>
      </c>
      <c r="B42" s="44">
        <f>'Managerial BS'!B46</f>
        <v>820</v>
      </c>
      <c r="C42" s="44">
        <f>'Managerial BS'!C46</f>
        <v>427</v>
      </c>
      <c r="D42" s="44">
        <f>'Managerial BS'!D46</f>
        <v>454</v>
      </c>
      <c r="E42" s="38" t="s">
        <v>347</v>
      </c>
      <c r="F42" s="72" t="s">
        <v>629</v>
      </c>
      <c r="G42" s="72" t="s">
        <v>630</v>
      </c>
    </row>
    <row r="43" spans="1:7" ht="26">
      <c r="A43" s="38" t="s">
        <v>631</v>
      </c>
      <c r="B43" s="43">
        <f>IF(B42=0,"",B41/B42)</f>
        <v>-2.5609756097560974E-2</v>
      </c>
      <c r="C43" s="43">
        <f>IF(C42=0,"",C41/C42)</f>
        <v>-9.8360655737704916E-2</v>
      </c>
      <c r="D43" s="43">
        <f>IF(D42=0,"",D41/D42)</f>
        <v>-4.4052863436123352E-3</v>
      </c>
      <c r="E43" s="38" t="s">
        <v>19</v>
      </c>
      <c r="F43" s="72" t="s">
        <v>632</v>
      </c>
      <c r="G43" s="72" t="s">
        <v>633</v>
      </c>
    </row>
    <row r="44" spans="1:7" ht="26">
      <c r="A44" s="38" t="s">
        <v>634</v>
      </c>
      <c r="B44" s="43">
        <f>B42/B47</f>
        <v>0.14611546685673557</v>
      </c>
      <c r="C44" s="43">
        <f>C42/C47</f>
        <v>7.1970335412101807E-2</v>
      </c>
      <c r="D44" s="43">
        <f>D42/D47</f>
        <v>9.1772791590863143E-2</v>
      </c>
      <c r="E44" s="38" t="s">
        <v>19</v>
      </c>
      <c r="F44" s="72" t="s">
        <v>667</v>
      </c>
      <c r="G44" s="72" t="s">
        <v>668</v>
      </c>
    </row>
    <row r="45" spans="1:7" ht="26">
      <c r="A45" s="38" t="s">
        <v>669</v>
      </c>
      <c r="B45" s="43">
        <f>B43*B44</f>
        <v>-3.7419814682822521E-3</v>
      </c>
      <c r="C45" s="43">
        <f>C43*C44</f>
        <v>-7.0790493847968988E-3</v>
      </c>
      <c r="D45" s="43">
        <f>D43*D44</f>
        <v>-4.0428542551041038E-4</v>
      </c>
      <c r="E45" s="38" t="s">
        <v>19</v>
      </c>
      <c r="F45" s="72" t="s">
        <v>638</v>
      </c>
      <c r="G45" s="72" t="s">
        <v>639</v>
      </c>
    </row>
    <row r="46" spans="1:7">
      <c r="A46" s="38" t="s">
        <v>640</v>
      </c>
      <c r="B46" s="44">
        <f>'Reformulated IS'!B22</f>
        <v>1494</v>
      </c>
      <c r="C46" s="44">
        <f>'Reformulated IS'!C22</f>
        <v>1220</v>
      </c>
      <c r="D46" s="44">
        <f>'Reformulated IS'!D22</f>
        <v>799</v>
      </c>
      <c r="E46" s="38" t="s">
        <v>347</v>
      </c>
      <c r="F46" s="72" t="s">
        <v>641</v>
      </c>
      <c r="G46" s="72" t="s">
        <v>642</v>
      </c>
    </row>
    <row r="47" spans="1:7" ht="26">
      <c r="A47" s="38" t="s">
        <v>278</v>
      </c>
      <c r="B47" s="44">
        <f>'Managerial BS'!B48</f>
        <v>5612</v>
      </c>
      <c r="C47" s="44">
        <f>'Managerial BS'!C48</f>
        <v>5933</v>
      </c>
      <c r="D47" s="44">
        <f>'Managerial BS'!D48</f>
        <v>4947</v>
      </c>
      <c r="E47" s="38" t="s">
        <v>347</v>
      </c>
      <c r="F47" s="72" t="s">
        <v>670</v>
      </c>
      <c r="G47" s="72" t="s">
        <v>671</v>
      </c>
    </row>
    <row r="48" spans="1:7" ht="26">
      <c r="A48" s="67" t="s">
        <v>672</v>
      </c>
      <c r="B48" s="68">
        <f>B46/B47</f>
        <v>0.26621525302922311</v>
      </c>
      <c r="C48" s="68">
        <f>C46/C47</f>
        <v>0.20562952974886228</v>
      </c>
      <c r="D48" s="68">
        <f>D46/D47</f>
        <v>0.16151202749140894</v>
      </c>
      <c r="E48" s="66" t="s">
        <v>19</v>
      </c>
      <c r="F48" s="73" t="s">
        <v>673</v>
      </c>
      <c r="G48" s="73" t="s">
        <v>674</v>
      </c>
    </row>
    <row r="49" spans="1:7" ht="26">
      <c r="A49" s="67" t="s">
        <v>675</v>
      </c>
      <c r="B49" s="68">
        <f>B40+B45</f>
        <v>0.26621525302922311</v>
      </c>
      <c r="C49" s="68">
        <f>C40+C45</f>
        <v>0.20562952974886231</v>
      </c>
      <c r="D49" s="68">
        <f>D40+D45</f>
        <v>0.16151202749140894</v>
      </c>
      <c r="E49" s="66" t="s">
        <v>19</v>
      </c>
      <c r="F49" s="73" t="s">
        <v>649</v>
      </c>
      <c r="G49" s="73" t="s">
        <v>650</v>
      </c>
    </row>
    <row r="50" spans="1:7">
      <c r="A50" s="69" t="s">
        <v>387</v>
      </c>
      <c r="B50" s="70">
        <f>B49-B48</f>
        <v>0</v>
      </c>
      <c r="C50" s="70">
        <f>C49-C48</f>
        <v>0</v>
      </c>
      <c r="D50" s="70">
        <f>D49-D48</f>
        <v>0</v>
      </c>
      <c r="E50" s="69" t="s">
        <v>19</v>
      </c>
      <c r="F50" s="72" t="s">
        <v>676</v>
      </c>
      <c r="G50" s="72" t="s">
        <v>652</v>
      </c>
    </row>
    <row r="51" spans="1:7" ht="26">
      <c r="A51" s="38" t="s">
        <v>653</v>
      </c>
      <c r="B51" s="43">
        <f>B39+B44</f>
        <v>1</v>
      </c>
      <c r="C51" s="43">
        <f>C39+C44</f>
        <v>1</v>
      </c>
      <c r="D51" s="43">
        <f>D39+D44</f>
        <v>1</v>
      </c>
      <c r="E51" s="38" t="s">
        <v>19</v>
      </c>
      <c r="F51" s="72" t="s">
        <v>654</v>
      </c>
      <c r="G51" s="72" t="s">
        <v>655</v>
      </c>
    </row>
    <row r="52" spans="1:7">
      <c r="A52" s="69" t="s">
        <v>656</v>
      </c>
      <c r="B52" s="70">
        <f>B51-1</f>
        <v>0</v>
      </c>
      <c r="C52" s="70">
        <f>C51-1</f>
        <v>0</v>
      </c>
      <c r="D52" s="70">
        <f>D51-1</f>
        <v>0</v>
      </c>
      <c r="E52" s="69" t="s">
        <v>19</v>
      </c>
      <c r="F52" s="72" t="s">
        <v>657</v>
      </c>
      <c r="G52" s="72" t="s">
        <v>652</v>
      </c>
    </row>
    <row r="53" spans="1:7">
      <c r="A53" s="38"/>
      <c r="B53" s="39"/>
      <c r="C53" s="39"/>
      <c r="D53" s="39"/>
      <c r="E53" s="38"/>
      <c r="F53" s="72"/>
      <c r="G53" s="72"/>
    </row>
    <row r="54" spans="1:7" ht="25.25" customHeight="1">
      <c r="A54" s="95" t="s">
        <v>677</v>
      </c>
      <c r="B54" s="96"/>
      <c r="C54" s="96"/>
      <c r="D54" s="96"/>
      <c r="E54" s="95"/>
      <c r="F54" s="97"/>
      <c r="G54" s="97"/>
    </row>
    <row r="55" spans="1:7" ht="37.25" customHeight="1">
      <c r="A55" s="61" t="s">
        <v>329</v>
      </c>
      <c r="B55" s="62" t="s">
        <v>330</v>
      </c>
      <c r="C55" s="62" t="s">
        <v>331</v>
      </c>
      <c r="D55" s="62" t="s">
        <v>332</v>
      </c>
      <c r="E55" s="61" t="s">
        <v>8</v>
      </c>
      <c r="F55" s="74" t="s">
        <v>190</v>
      </c>
      <c r="G55" s="74" t="s">
        <v>11</v>
      </c>
    </row>
    <row r="56" spans="1:7">
      <c r="A56" s="38" t="s">
        <v>12</v>
      </c>
      <c r="B56" s="44">
        <f>'Reformulated IS'!B7</f>
        <v>9935</v>
      </c>
      <c r="C56" s="44">
        <f>'Reformulated IS'!C7</f>
        <v>7715</v>
      </c>
      <c r="D56" s="44">
        <f>'Reformulated IS'!D7</f>
        <v>7176</v>
      </c>
      <c r="E56" s="38" t="s">
        <v>347</v>
      </c>
      <c r="F56" s="72" t="s">
        <v>678</v>
      </c>
      <c r="G56" s="72" t="s">
        <v>679</v>
      </c>
    </row>
    <row r="57" spans="1:7" ht="26">
      <c r="A57" s="38" t="s">
        <v>444</v>
      </c>
      <c r="B57" s="44">
        <f>'Reformulated IS'!B18</f>
        <v>1515</v>
      </c>
      <c r="C57" s="44">
        <f>'Reformulated IS'!C18</f>
        <v>1262</v>
      </c>
      <c r="D57" s="44">
        <f>'Reformulated IS'!D18</f>
        <v>801</v>
      </c>
      <c r="E57" s="38" t="s">
        <v>347</v>
      </c>
      <c r="F57" s="72" t="s">
        <v>614</v>
      </c>
      <c r="G57" s="72" t="s">
        <v>493</v>
      </c>
    </row>
    <row r="58" spans="1:7" ht="26">
      <c r="A58" s="38" t="s">
        <v>257</v>
      </c>
      <c r="B58" s="44">
        <f>'Managerial BS'!B39</f>
        <v>12900</v>
      </c>
      <c r="C58" s="44">
        <f>'Managerial BS'!C39</f>
        <v>12033</v>
      </c>
      <c r="D58" s="44">
        <f>'Managerial BS'!D39</f>
        <v>9807</v>
      </c>
      <c r="E58" s="38" t="s">
        <v>347</v>
      </c>
      <c r="F58" s="72" t="s">
        <v>615</v>
      </c>
      <c r="G58" s="72" t="s">
        <v>680</v>
      </c>
    </row>
    <row r="59" spans="1:7" ht="26">
      <c r="A59" s="38" t="s">
        <v>260</v>
      </c>
      <c r="B59" s="44">
        <f>'Managerial BS'!B40</f>
        <v>4792</v>
      </c>
      <c r="C59" s="44">
        <f>'Managerial BS'!C40</f>
        <v>5506</v>
      </c>
      <c r="D59" s="44">
        <f>'Managerial BS'!D40</f>
        <v>4493</v>
      </c>
      <c r="E59" s="38" t="s">
        <v>347</v>
      </c>
      <c r="F59" s="72" t="s">
        <v>659</v>
      </c>
      <c r="G59" s="72" t="s">
        <v>681</v>
      </c>
    </row>
    <row r="60" spans="1:7">
      <c r="A60" s="38" t="s">
        <v>240</v>
      </c>
      <c r="B60" s="44">
        <f>'Managerial BS'!B29</f>
        <v>8108</v>
      </c>
      <c r="C60" s="44">
        <f>'Managerial BS'!C29</f>
        <v>6527</v>
      </c>
      <c r="D60" s="44">
        <f>'Managerial BS'!D29</f>
        <v>5314</v>
      </c>
      <c r="E60" s="38" t="s">
        <v>347</v>
      </c>
      <c r="F60" s="72" t="s">
        <v>682</v>
      </c>
      <c r="G60" s="72" t="s">
        <v>242</v>
      </c>
    </row>
    <row r="61" spans="1:7">
      <c r="A61" s="38" t="s">
        <v>683</v>
      </c>
      <c r="B61" s="43">
        <f>B57/B56</f>
        <v>0.1524911927528938</v>
      </c>
      <c r="C61" s="43">
        <f>C57/C56</f>
        <v>0.16357744653272846</v>
      </c>
      <c r="D61" s="43">
        <f>D57/D56</f>
        <v>0.11162207357859531</v>
      </c>
      <c r="E61" s="38" t="s">
        <v>19</v>
      </c>
      <c r="F61" s="72" t="s">
        <v>684</v>
      </c>
      <c r="G61" s="72" t="s">
        <v>685</v>
      </c>
    </row>
    <row r="62" spans="1:7" ht="26">
      <c r="A62" s="38" t="s">
        <v>686</v>
      </c>
      <c r="B62" s="43">
        <f>B56/B58</f>
        <v>0.77015503875968994</v>
      </c>
      <c r="C62" s="43">
        <f>C56/C58</f>
        <v>0.64115349455663595</v>
      </c>
      <c r="D62" s="43">
        <f>D56/D58</f>
        <v>0.73172223921688595</v>
      </c>
      <c r="E62" s="38" t="s">
        <v>19</v>
      </c>
      <c r="F62" s="72" t="s">
        <v>687</v>
      </c>
      <c r="G62" s="72" t="s">
        <v>688</v>
      </c>
    </row>
    <row r="63" spans="1:7" ht="28">
      <c r="A63" s="38" t="s">
        <v>689</v>
      </c>
      <c r="B63" s="46">
        <f>B58/B59</f>
        <v>2.6919866444073457</v>
      </c>
      <c r="C63" s="46">
        <f>C58/C59</f>
        <v>2.1854340719215402</v>
      </c>
      <c r="D63" s="46">
        <f>D58/D59</f>
        <v>2.1827286890718898</v>
      </c>
      <c r="E63" s="38" t="s">
        <v>19</v>
      </c>
      <c r="F63" s="72" t="s">
        <v>690</v>
      </c>
      <c r="G63" s="72" t="s">
        <v>691</v>
      </c>
    </row>
    <row r="64" spans="1:7" ht="26">
      <c r="A64" s="67" t="s">
        <v>692</v>
      </c>
      <c r="B64" s="68">
        <f>B61*B62*B63</f>
        <v>0.31615191986644409</v>
      </c>
      <c r="C64" s="68">
        <f>C61*C62*C63</f>
        <v>0.22920450417726118</v>
      </c>
      <c r="D64" s="68">
        <f>D61*D62*D63</f>
        <v>0.17827732027598489</v>
      </c>
      <c r="E64" s="66" t="s">
        <v>19</v>
      </c>
      <c r="F64" s="73" t="s">
        <v>693</v>
      </c>
      <c r="G64" s="73" t="s">
        <v>694</v>
      </c>
    </row>
    <row r="65" spans="1:7" ht="26">
      <c r="A65" s="67" t="s">
        <v>695</v>
      </c>
      <c r="B65" s="68">
        <f>B57/B59</f>
        <v>0.31615191986644409</v>
      </c>
      <c r="C65" s="68">
        <f>C57/C59</f>
        <v>0.22920450417726118</v>
      </c>
      <c r="D65" s="68">
        <f>D57/D59</f>
        <v>0.17827732027598486</v>
      </c>
      <c r="E65" s="66" t="s">
        <v>19</v>
      </c>
      <c r="F65" s="73" t="s">
        <v>662</v>
      </c>
      <c r="G65" s="73" t="s">
        <v>696</v>
      </c>
    </row>
    <row r="66" spans="1:7" ht="26">
      <c r="A66" s="69" t="s">
        <v>387</v>
      </c>
      <c r="B66" s="70">
        <f>B64-B65</f>
        <v>0</v>
      </c>
      <c r="C66" s="70">
        <f>C64-C65</f>
        <v>0</v>
      </c>
      <c r="D66" s="70">
        <f>D64-D65</f>
        <v>0</v>
      </c>
      <c r="E66" s="69" t="s">
        <v>19</v>
      </c>
      <c r="F66" s="72" t="s">
        <v>697</v>
      </c>
      <c r="G66" s="72" t="s">
        <v>652</v>
      </c>
    </row>
    <row r="67" spans="1:7" ht="26">
      <c r="A67" s="38" t="s">
        <v>698</v>
      </c>
      <c r="B67" s="43">
        <f>B60/B58</f>
        <v>0.62852713178294572</v>
      </c>
      <c r="C67" s="43">
        <f>C60/C58</f>
        <v>0.54242499792238008</v>
      </c>
      <c r="D67" s="43">
        <f>D60/D58</f>
        <v>0.54185785663301722</v>
      </c>
      <c r="E67" s="38" t="s">
        <v>19</v>
      </c>
      <c r="F67" s="72" t="s">
        <v>698</v>
      </c>
      <c r="G67" s="72" t="s">
        <v>699</v>
      </c>
    </row>
    <row r="68" spans="1:7" ht="28">
      <c r="A68" s="38" t="s">
        <v>700</v>
      </c>
      <c r="B68" s="46">
        <f>1/(1-B67)</f>
        <v>2.6919866444073457</v>
      </c>
      <c r="C68" s="46">
        <f>1/(1-C67)</f>
        <v>2.1854340719215402</v>
      </c>
      <c r="D68" s="46">
        <f>1/(1-D67)</f>
        <v>2.1827286890718898</v>
      </c>
      <c r="E68" s="38" t="s">
        <v>19</v>
      </c>
      <c r="F68" s="72" t="s">
        <v>701</v>
      </c>
      <c r="G68" s="72" t="s">
        <v>702</v>
      </c>
    </row>
    <row r="69" spans="1:7" ht="26">
      <c r="A69" s="69" t="s">
        <v>703</v>
      </c>
      <c r="B69" s="70">
        <f>B68-B63</f>
        <v>0</v>
      </c>
      <c r="C69" s="70">
        <f>C68-C63</f>
        <v>0</v>
      </c>
      <c r="D69" s="70">
        <f>D68-D63</f>
        <v>0</v>
      </c>
      <c r="E69" s="69" t="s">
        <v>19</v>
      </c>
      <c r="F69" s="72" t="s">
        <v>704</v>
      </c>
      <c r="G69" s="72" t="s">
        <v>344</v>
      </c>
    </row>
    <row r="70" spans="1:7" ht="28">
      <c r="A70" s="38" t="s">
        <v>705</v>
      </c>
      <c r="B70" s="43">
        <f>B59/B58</f>
        <v>0.37147286821705428</v>
      </c>
      <c r="C70" s="43">
        <f>C59/C58</f>
        <v>0.45757500207761986</v>
      </c>
      <c r="D70" s="43">
        <f>D59/D58</f>
        <v>0.45814214336698278</v>
      </c>
      <c r="E70" s="38" t="s">
        <v>19</v>
      </c>
      <c r="F70" s="72" t="s">
        <v>705</v>
      </c>
      <c r="G70" s="72" t="s">
        <v>706</v>
      </c>
    </row>
    <row r="71" spans="1:7" ht="39">
      <c r="A71" s="69" t="s">
        <v>707</v>
      </c>
      <c r="B71" s="71" t="str">
        <f>IF(ABS(B70)&lt;0.05,"FLAG","NO FLAG")</f>
        <v>NO FLAG</v>
      </c>
      <c r="C71" s="71" t="str">
        <f>IF(ABS(C70)&lt;0.05,"FLAG","NO FLAG")</f>
        <v>NO FLAG</v>
      </c>
      <c r="D71" s="71" t="str">
        <f>IF(ABS(D70)&lt;0.05,"FLAG","NO FLAG")</f>
        <v>NO FLAG</v>
      </c>
      <c r="E71" s="69" t="s">
        <v>19</v>
      </c>
      <c r="F71" s="72" t="s">
        <v>708</v>
      </c>
      <c r="G71" s="72" t="s">
        <v>709</v>
      </c>
    </row>
  </sheetData>
  <mergeCells count="7">
    <mergeCell ref="A34:G34"/>
    <mergeCell ref="A54:G54"/>
    <mergeCell ref="A1:G1"/>
    <mergeCell ref="A2:G2"/>
    <mergeCell ref="A3:G3"/>
    <mergeCell ref="A5:G5"/>
    <mergeCell ref="A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Reformulated IS</vt:lpstr>
      <vt:lpstr>Managerial BS</vt:lpstr>
      <vt:lpstr>ROE</vt:lpstr>
      <vt:lpstr>ROI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PAPP</cp:lastModifiedBy>
  <dcterms:created xsi:type="dcterms:W3CDTF">2026-09-27T21:47:03Z</dcterms:created>
  <dcterms:modified xsi:type="dcterms:W3CDTF">2026-09-27T21:47:54Z</dcterms:modified>
</cp:coreProperties>
</file>