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4"/>
  <workbookPr defaultThemeVersion="166925"/>
  <mc:AlternateContent xmlns:mc="http://schemas.openxmlformats.org/markup-compatibility/2006">
    <mc:Choice Requires="x15">
      <x15ac:absPath xmlns:x15ac="http://schemas.microsoft.com/office/spreadsheetml/2010/11/ac" url="/Users/domi/Desktop/"/>
    </mc:Choice>
  </mc:AlternateContent>
  <xr:revisionPtr revIDLastSave="0" documentId="8_{DFAD4047-D279-F743-A4D2-0DA533C0D470}" xr6:coauthVersionLast="47" xr6:coauthVersionMax="47" xr10:uidLastSave="{00000000-0000-0000-0000-000000000000}"/>
  <bookViews>
    <workbookView xWindow="0" yWindow="500" windowWidth="28800" windowHeight="16260" xr2:uid="{00000000-000D-0000-FFFF-FFFF00000000}"/>
  </bookViews>
  <sheets>
    <sheet name="Income Statement" sheetId="5" r:id="rId1"/>
    <sheet name="Balance Sheet " sheetId="2" r:id="rId2"/>
    <sheet name="ROE + Decomposition" sheetId="6" r:id="rId3"/>
    <sheet name="ROI + Decomposition" sheetId="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6" l="1"/>
  <c r="C55" i="6"/>
  <c r="I52" i="2"/>
  <c r="I53" i="2"/>
  <c r="L47" i="6" s="1"/>
  <c r="C33" i="6"/>
  <c r="L49" i="6"/>
  <c r="L50" i="6"/>
  <c r="L57" i="6" s="1"/>
  <c r="L53" i="6"/>
  <c r="C43" i="6" s="1"/>
  <c r="C37" i="6"/>
  <c r="C36" i="6"/>
  <c r="C24" i="6"/>
  <c r="C25" i="6"/>
  <c r="B24" i="6"/>
  <c r="C18" i="6"/>
  <c r="C15" i="6"/>
  <c r="C17" i="6" s="1"/>
  <c r="C19" i="6" s="1"/>
  <c r="C14" i="6"/>
  <c r="C16" i="6" s="1"/>
  <c r="C12" i="6"/>
  <c r="C8" i="6"/>
  <c r="C11" i="6" s="1"/>
  <c r="C13" i="6" s="1"/>
  <c r="K47" i="6"/>
  <c r="B17" i="6" s="1"/>
  <c r="B15" i="6"/>
  <c r="B8" i="6"/>
  <c r="B11" i="6" s="1"/>
  <c r="C4" i="6"/>
  <c r="C7" i="6" s="1"/>
  <c r="C9" i="6" s="1"/>
  <c r="C3" i="6"/>
  <c r="L48" i="6" s="1"/>
  <c r="B4" i="6"/>
  <c r="B7" i="6" s="1"/>
  <c r="B3" i="6"/>
  <c r="C5" i="6"/>
  <c r="C21" i="6" s="1"/>
  <c r="K53" i="6"/>
  <c r="B43" i="6" s="1"/>
  <c r="B28" i="6"/>
  <c r="K56" i="6" s="1"/>
  <c r="B25" i="6"/>
  <c r="H53" i="2"/>
  <c r="I49" i="5"/>
  <c r="H49" i="5"/>
  <c r="I44" i="5"/>
  <c r="H44" i="5"/>
  <c r="B9" i="2"/>
  <c r="B55" i="6"/>
  <c r="B13" i="7"/>
  <c r="K49" i="6"/>
  <c r="B33" i="6"/>
  <c r="I37" i="2"/>
  <c r="H37" i="2"/>
  <c r="K50" i="6"/>
  <c r="K57" i="6" s="1"/>
  <c r="B18" i="6"/>
  <c r="I46" i="2"/>
  <c r="H46" i="2"/>
  <c r="I41" i="2"/>
  <c r="I43" i="2" s="1"/>
  <c r="H41" i="2"/>
  <c r="H43" i="2" s="1"/>
  <c r="I42" i="5"/>
  <c r="H42" i="5"/>
  <c r="H24" i="5"/>
  <c r="I47" i="5"/>
  <c r="H47" i="5"/>
  <c r="I47" i="2"/>
  <c r="H47" i="2"/>
  <c r="I34" i="2"/>
  <c r="H34" i="2"/>
  <c r="I33" i="2"/>
  <c r="I36" i="2" s="1"/>
  <c r="H33" i="2"/>
  <c r="H36" i="2" s="1"/>
  <c r="I29" i="2"/>
  <c r="H29" i="2"/>
  <c r="I28" i="2"/>
  <c r="H28" i="2"/>
  <c r="I27" i="2"/>
  <c r="H27" i="2"/>
  <c r="I26" i="2"/>
  <c r="H26" i="2"/>
  <c r="I25" i="2"/>
  <c r="I30" i="2" s="1"/>
  <c r="H25" i="2"/>
  <c r="H30" i="2" s="1"/>
  <c r="I20" i="2"/>
  <c r="H20" i="2"/>
  <c r="I18" i="2"/>
  <c r="H18" i="2"/>
  <c r="I17" i="2"/>
  <c r="H17" i="2"/>
  <c r="H16" i="2"/>
  <c r="H23" i="2" s="1"/>
  <c r="I16" i="2"/>
  <c r="I23" i="2" s="1"/>
  <c r="I11" i="2"/>
  <c r="H11" i="2"/>
  <c r="I10" i="2"/>
  <c r="H10" i="2"/>
  <c r="I9" i="2"/>
  <c r="H9" i="2"/>
  <c r="I27" i="5"/>
  <c r="I26" i="5"/>
  <c r="H27" i="5"/>
  <c r="H26" i="5"/>
  <c r="H28" i="5" s="1"/>
  <c r="I23" i="5"/>
  <c r="I22" i="5"/>
  <c r="I19" i="5"/>
  <c r="I17" i="5"/>
  <c r="H17" i="5"/>
  <c r="I13" i="5"/>
  <c r="H13" i="5"/>
  <c r="I11" i="5"/>
  <c r="H11" i="5"/>
  <c r="I10" i="5"/>
  <c r="H10" i="5"/>
  <c r="C26" i="6" l="1"/>
  <c r="C38" i="6"/>
  <c r="L51" i="6"/>
  <c r="C29" i="6"/>
  <c r="C30" i="6" s="1"/>
  <c r="C53" i="6"/>
  <c r="C32" i="6"/>
  <c r="C34" i="6" s="1"/>
  <c r="L54" i="6"/>
  <c r="C45" i="6" s="1"/>
  <c r="L55" i="6"/>
  <c r="L56" i="6"/>
  <c r="C49" i="6" s="1"/>
  <c r="L58" i="6"/>
  <c r="B29" i="6"/>
  <c r="B32" i="6"/>
  <c r="B53" i="6"/>
  <c r="B49" i="6"/>
  <c r="K58" i="6"/>
  <c r="B56" i="6" s="1"/>
  <c r="K54" i="6"/>
  <c r="B45" i="6" s="1"/>
  <c r="B57" i="6"/>
  <c r="B62" i="6"/>
  <c r="H12" i="5"/>
  <c r="H16" i="5" s="1"/>
  <c r="B14" i="6"/>
  <c r="B12" i="6"/>
  <c r="B15" i="7"/>
  <c r="B6" i="7"/>
  <c r="K51" i="6"/>
  <c r="K60" i="6"/>
  <c r="K55" i="6"/>
  <c r="B16" i="7"/>
  <c r="B7" i="7"/>
  <c r="C16" i="7"/>
  <c r="C7" i="7"/>
  <c r="H15" i="2"/>
  <c r="H31" i="2" s="1"/>
  <c r="I15" i="2"/>
  <c r="I31" i="2" s="1"/>
  <c r="I48" i="2"/>
  <c r="I24" i="5"/>
  <c r="I12" i="5"/>
  <c r="I16" i="5" s="1"/>
  <c r="I28" i="5"/>
  <c r="C39" i="6" l="1"/>
  <c r="L60" i="6"/>
  <c r="C56" i="6"/>
  <c r="C57" i="6" s="1"/>
  <c r="C62" i="6" s="1"/>
  <c r="B34" i="6"/>
  <c r="B30" i="6"/>
  <c r="I18" i="5"/>
  <c r="I54" i="5"/>
  <c r="C15" i="7"/>
  <c r="C6" i="7"/>
  <c r="H18" i="5"/>
  <c r="H54" i="5"/>
  <c r="I24" i="2"/>
  <c r="I32" i="2" s="1"/>
  <c r="C5" i="7"/>
  <c r="C4" i="7"/>
  <c r="H24" i="2"/>
  <c r="H32" i="2" s="1"/>
  <c r="B5" i="7"/>
  <c r="H52" i="2"/>
  <c r="B4" i="7"/>
  <c r="H38" i="2"/>
  <c r="B14" i="7" s="1"/>
  <c r="H48" i="2"/>
  <c r="H21" i="5" l="1"/>
  <c r="H57" i="5"/>
  <c r="H56" i="5"/>
  <c r="H55" i="5"/>
  <c r="I21" i="5"/>
  <c r="I57" i="5"/>
  <c r="I56" i="5"/>
  <c r="I55" i="5"/>
  <c r="B16" i="6"/>
  <c r="B19" i="6"/>
  <c r="I38" i="2"/>
  <c r="C14" i="7" s="1"/>
  <c r="C13" i="7"/>
  <c r="C12" i="7" l="1"/>
  <c r="C18" i="7" s="1"/>
  <c r="C3" i="7"/>
  <c r="C9" i="7" s="1"/>
  <c r="I29" i="5"/>
  <c r="I25" i="5"/>
  <c r="B12" i="7"/>
  <c r="B18" i="7" s="1"/>
  <c r="B3" i="7"/>
  <c r="B9" i="7" s="1"/>
  <c r="H29" i="5"/>
  <c r="H25" i="5"/>
  <c r="B26" i="6" l="1"/>
  <c r="B13" i="6"/>
  <c r="H43" i="5"/>
  <c r="B37" i="6"/>
  <c r="I43" i="5"/>
  <c r="B9" i="6" l="1"/>
  <c r="B36" i="6" l="1"/>
  <c r="B38" i="6" s="1"/>
  <c r="B39" i="6" s="1"/>
  <c r="K48" i="6"/>
  <c r="B5" i="6" l="1"/>
  <c r="B21" i="6" s="1"/>
</calcChain>
</file>

<file path=xl/sharedStrings.xml><?xml version="1.0" encoding="utf-8"?>
<sst xmlns="http://schemas.openxmlformats.org/spreadsheetml/2006/main" count="453" uniqueCount="225">
  <si>
    <t>Rheinmetall AG (RHM-DE)</t>
  </si>
  <si>
    <t>€1010.60</t>
  </si>
  <si>
    <t>Rheinmetall AG Income Statement (Reported)</t>
  </si>
  <si>
    <t>Rheinmetall AG Reclassified Income Statement (External/Internal Costs)</t>
  </si>
  <si>
    <t xml:space="preserve">RHM-DE   5334588   Xetra    Common stock    </t>
  </si>
  <si>
    <t>31 DEC '25</t>
  </si>
  <si>
    <t>31 DEC '24</t>
  </si>
  <si>
    <t>Sales</t>
  </si>
  <si>
    <t>Changes in inventories and work performed by the enterprise and capitalised</t>
  </si>
  <si>
    <t>Total revenue</t>
  </si>
  <si>
    <t>Value of Production</t>
  </si>
  <si>
    <t>Cost of sales</t>
  </si>
  <si>
    <t>Cost of materials</t>
  </si>
  <si>
    <t>Gross profit on sales</t>
  </si>
  <si>
    <t>Other operating expenses</t>
  </si>
  <si>
    <t>Selling and distribution costs</t>
  </si>
  <si>
    <t>Other operating income</t>
  </si>
  <si>
    <t>Research and development expenses</t>
  </si>
  <si>
    <t>Added Value</t>
  </si>
  <si>
    <t>General administrative expenses</t>
  </si>
  <si>
    <t>Personnel expenses</t>
  </si>
  <si>
    <t>EBITDA</t>
  </si>
  <si>
    <t>Amortization, depreciation (excl impairment)</t>
  </si>
  <si>
    <t>Restructuring costs removed</t>
  </si>
  <si>
    <t xml:space="preserve">Core Operating Income </t>
  </si>
  <si>
    <t>Amortization, depreciation and impairment</t>
  </si>
  <si>
    <t>Results from equity-method investments (excluding AIM)</t>
  </si>
  <si>
    <t>Other net financial income</t>
  </si>
  <si>
    <t>Result from investments accounted for using the equity method</t>
  </si>
  <si>
    <t>Non-core Operating Income</t>
  </si>
  <si>
    <t>Operating Income (EBIT)</t>
  </si>
  <si>
    <t>Earnings before interest and taxes (EBIT)</t>
  </si>
  <si>
    <t xml:space="preserve">Net interest income  </t>
  </si>
  <si>
    <t>Net financial income</t>
  </si>
  <si>
    <t>Net interest expenses</t>
  </si>
  <si>
    <t>Net interest income</t>
  </si>
  <si>
    <t>Net financial expenses</t>
  </si>
  <si>
    <t>Net interest income / expenses</t>
  </si>
  <si>
    <t>Income before unusual items &amp; taxes</t>
  </si>
  <si>
    <t>Net investment income and other net financial income</t>
  </si>
  <si>
    <t>Refunds (mainly insurance for 2025 production losses)</t>
  </si>
  <si>
    <t>Reversal of provisions</t>
  </si>
  <si>
    <t>Financial expenses</t>
  </si>
  <si>
    <t>Disposals of non-current assets, net</t>
  </si>
  <si>
    <t>Financial result</t>
  </si>
  <si>
    <t>Impairment / write-back</t>
  </si>
  <si>
    <t>Earnings before taxes (EBT)</t>
  </si>
  <si>
    <t>Gain on sale of AIM stake</t>
  </si>
  <si>
    <t>Income taxes</t>
  </si>
  <si>
    <t>Revaluation of previously held blackned stake</t>
  </si>
  <si>
    <t>Earnings from continuing operations</t>
  </si>
  <si>
    <t>NVL Acquisition cost</t>
  </si>
  <si>
    <t>Earnings from discontinued operations</t>
  </si>
  <si>
    <t>Restructuring costs</t>
  </si>
  <si>
    <t>Earnings after taxes</t>
  </si>
  <si>
    <t>Prior-period income taxes</t>
  </si>
  <si>
    <t>Earnings after taxes attributable to minority interests</t>
  </si>
  <si>
    <t>Effect of changes in taxes</t>
  </si>
  <si>
    <t>Earnings after taxes attributable to Rheinmetall AG shareholders</t>
  </si>
  <si>
    <t>Discontinued operations</t>
  </si>
  <si>
    <t>Other comprehensive income</t>
  </si>
  <si>
    <t>Unusual items</t>
  </si>
  <si>
    <t>Income before taxes</t>
  </si>
  <si>
    <t>Income taxes (continuing operations)</t>
  </si>
  <si>
    <t>Income taxes (discontinued operations)</t>
  </si>
  <si>
    <t>Taxes on other comprehensive income</t>
  </si>
  <si>
    <t>Rounding reconciliation</t>
  </si>
  <si>
    <t>Comprehensive income</t>
  </si>
  <si>
    <t>of which non controlling interests</t>
  </si>
  <si>
    <t>of which Rheinmetall AG shareholders</t>
  </si>
  <si>
    <t>RATIOS</t>
  </si>
  <si>
    <t>Rheinmetall AG Statement of Comprehensive Income (Reported)</t>
  </si>
  <si>
    <t>Added Value / Value of Production</t>
  </si>
  <si>
    <t>EBITDA / Value of Production</t>
  </si>
  <si>
    <t>EBITDA / Added Value</t>
  </si>
  <si>
    <t>EBITDA Margin</t>
  </si>
  <si>
    <t>Remeasurement of net defined benefit liability from pensions</t>
  </si>
  <si>
    <t>Other comprehensive income from investments accounted for using the equity methods</t>
  </si>
  <si>
    <t>Amounts not reclassified to the income statement</t>
  </si>
  <si>
    <t>Change in value of derivative financial instruments (cash flow hedge)</t>
  </si>
  <si>
    <t>Currency translation difference</t>
  </si>
  <si>
    <t>Amounts reclassified to the income statement</t>
  </si>
  <si>
    <t>Other comprehensive income after taxes</t>
  </si>
  <si>
    <t>Total comprehensive income</t>
  </si>
  <si>
    <t>Of which</t>
  </si>
  <si>
    <t>Non controlling interests</t>
  </si>
  <si>
    <t>Rheinmetall AG shareholders</t>
  </si>
  <si>
    <t>Rheinmetall AG Statement of Financial Position</t>
  </si>
  <si>
    <t>Rheinmetall AG Reclassified Statement of Financial Position (Managerial)</t>
  </si>
  <si>
    <t>Total assets</t>
  </si>
  <si>
    <t xml:space="preserve">Inventories </t>
  </si>
  <si>
    <t>Non-current assets</t>
  </si>
  <si>
    <t>Contract assets</t>
  </si>
  <si>
    <t>Intangible assets</t>
  </si>
  <si>
    <t>Trade receivables</t>
  </si>
  <si>
    <t>Goodwill</t>
  </si>
  <si>
    <t>Contract acquisition costs and contract costs</t>
  </si>
  <si>
    <t>Other intangible assets</t>
  </si>
  <si>
    <t>Prepaid expenses and other non-financial assets</t>
  </si>
  <si>
    <t>Right-of-use assets</t>
  </si>
  <si>
    <t>Derivative assets (hedges of operating risks)</t>
  </si>
  <si>
    <t>Property, plant and equipment</t>
  </si>
  <si>
    <t>Current operating assets</t>
  </si>
  <si>
    <t>Financial assets</t>
  </si>
  <si>
    <t>Contract liabilities</t>
  </si>
  <si>
    <t>Investment property</t>
  </si>
  <si>
    <t>Trade liabilities</t>
  </si>
  <si>
    <t>Investments accounted for using the equity method</t>
  </si>
  <si>
    <t>Other current provisions</t>
  </si>
  <si>
    <t>Other non-current assets</t>
  </si>
  <si>
    <t>Pension provisions net of plan surplus</t>
  </si>
  <si>
    <t>Other non-current financial assets</t>
  </si>
  <si>
    <t>Other non-current provisions</t>
  </si>
  <si>
    <t>Other non-current assets excluding other non-current financial assets</t>
  </si>
  <si>
    <t>Social security and other non-financial liabilities</t>
  </si>
  <si>
    <t>Deferred taxes</t>
  </si>
  <si>
    <t>Derivative liabilities (hedges of operating risks)</t>
  </si>
  <si>
    <t>Current assets</t>
  </si>
  <si>
    <t>Operating liabilities</t>
  </si>
  <si>
    <t>Inventories, net</t>
  </si>
  <si>
    <t>NOWC</t>
  </si>
  <si>
    <t>Inventories</t>
  </si>
  <si>
    <t>Prepayments received</t>
  </si>
  <si>
    <t>Other current assets</t>
  </si>
  <si>
    <t>Income tax receivables</t>
  </si>
  <si>
    <t>Non-current operating assets</t>
  </si>
  <si>
    <t>Core Operating Invested Capital</t>
  </si>
  <si>
    <t>Other financial assets</t>
  </si>
  <si>
    <t>Net operating assets</t>
  </si>
  <si>
    <t>Liquid financial assets</t>
  </si>
  <si>
    <t>Other current receivables and assets</t>
  </si>
  <si>
    <t>Held for sale, net</t>
  </si>
  <si>
    <t>Securities held for trade</t>
  </si>
  <si>
    <t>Non-current financial assets (bonds, other; excl. derivatives)</t>
  </si>
  <si>
    <t>Current tax assets</t>
  </si>
  <si>
    <t>Non-operating assets</t>
  </si>
  <si>
    <t>Cash and cash equivalents</t>
  </si>
  <si>
    <t>Total Invested Capital</t>
  </si>
  <si>
    <t>Assets held for sale</t>
  </si>
  <si>
    <t>Net invested capital</t>
  </si>
  <si>
    <t>Total equity and liabilities</t>
  </si>
  <si>
    <t>Financial debts (incl. lease liabilities 306/327)</t>
  </si>
  <si>
    <t>Equity</t>
  </si>
  <si>
    <t>Other financial liabilities (excl. derivatives)</t>
  </si>
  <si>
    <t>Share capital</t>
  </si>
  <si>
    <t>Capital reserves</t>
  </si>
  <si>
    <t>Current financial assets (excl. derivatives)</t>
  </si>
  <si>
    <t>Retained earnings</t>
  </si>
  <si>
    <t>Net financial position</t>
  </si>
  <si>
    <t>Earnings after taxes of Rheinmetall AG shareholders</t>
  </si>
  <si>
    <t>Tax liabilities (deferred, income, other taxes)</t>
  </si>
  <si>
    <t>Non-current liabilities</t>
  </si>
  <si>
    <t>Tax assets (deferred, income, other taxes)</t>
  </si>
  <si>
    <t>Provisions for pensions and similar obligations</t>
  </si>
  <si>
    <t>Net tax position</t>
  </si>
  <si>
    <t>Loans and borrowings</t>
  </si>
  <si>
    <t>Total financing</t>
  </si>
  <si>
    <t>Lease liabilities</t>
  </si>
  <si>
    <t>Non-current financial debts</t>
  </si>
  <si>
    <t>Other non-current liabilities</t>
  </si>
  <si>
    <t>Non-current Financial Liabilities</t>
  </si>
  <si>
    <t>Other non-current liabilities excluding non-current financial liabilities</t>
  </si>
  <si>
    <t>Total Assets</t>
  </si>
  <si>
    <t>Current liabilities</t>
  </si>
  <si>
    <t>Employee benefits</t>
  </si>
  <si>
    <t>Other financial liabilities</t>
  </si>
  <si>
    <t>Current financial debts</t>
  </si>
  <si>
    <t>Other current liabilities</t>
  </si>
  <si>
    <t>Current finacial liabilities</t>
  </si>
  <si>
    <t>Other current liabilities excluding current finacial liabilities</t>
  </si>
  <si>
    <t>Income tax liabilities</t>
  </si>
  <si>
    <t>Liabilities directly associated with assets held for sale</t>
  </si>
  <si>
    <t>All figures in millions of Euro.</t>
  </si>
  <si>
    <t>Balance Sheet</t>
  </si>
  <si>
    <t>Income statement</t>
  </si>
  <si>
    <t>DuPont Decomposition</t>
  </si>
  <si>
    <t>Net income</t>
  </si>
  <si>
    <t>EBT</t>
  </si>
  <si>
    <t>EBIT</t>
  </si>
  <si>
    <t>DuPont ROE</t>
  </si>
  <si>
    <t>Modigliani Miller Decomposition (adjusted)</t>
  </si>
  <si>
    <t>Operating Income</t>
  </si>
  <si>
    <t>Net Operating invested capital</t>
  </si>
  <si>
    <t>Ratio 1</t>
  </si>
  <si>
    <t>Net operating invested capital</t>
  </si>
  <si>
    <t>Net Financial Revenue/Net Financial Expenses</t>
  </si>
  <si>
    <t>Net Financial Assets/ Net Financial Obligations</t>
  </si>
  <si>
    <t>Ratio 2</t>
  </si>
  <si>
    <t>Non-current financial assers (bonds, other; excl. derivatives)</t>
  </si>
  <si>
    <t>Net Equity</t>
  </si>
  <si>
    <t>Ratio 3</t>
  </si>
  <si>
    <t>Compr Income</t>
  </si>
  <si>
    <t>Income Before Unus and tax</t>
  </si>
  <si>
    <t>Ratio 4</t>
  </si>
  <si>
    <t>Modigliani Miller ROE</t>
  </si>
  <si>
    <t>Penman Decomposition</t>
  </si>
  <si>
    <t>NOPAT</t>
  </si>
  <si>
    <t>Supporting figures for MM and Penman decompositions</t>
  </si>
  <si>
    <t>Net Financial Revenue</t>
  </si>
  <si>
    <t>Net financial assets</t>
  </si>
  <si>
    <t>ROE check</t>
  </si>
  <si>
    <t>Financial liabilities</t>
  </si>
  <si>
    <t>Net Financial Assets</t>
  </si>
  <si>
    <t>Net equity</t>
  </si>
  <si>
    <t>Uniform tax rate</t>
  </si>
  <si>
    <t>Comp Income</t>
  </si>
  <si>
    <t>Income Before U(after tax)</t>
  </si>
  <si>
    <t>Net Financial Revenues</t>
  </si>
  <si>
    <t>Income before unusual after tax</t>
  </si>
  <si>
    <t>Compr/INBU</t>
  </si>
  <si>
    <t>Penman ROE</t>
  </si>
  <si>
    <t>GROSS</t>
  </si>
  <si>
    <t>INCOME STATEMENT</t>
  </si>
  <si>
    <t>Core operating income</t>
  </si>
  <si>
    <t>Core operating invested capital</t>
  </si>
  <si>
    <t>Total invested capital</t>
  </si>
  <si>
    <t>Non-core operating income</t>
  </si>
  <si>
    <t>Non-core operating invested capital</t>
  </si>
  <si>
    <t>ROI (Gross)</t>
  </si>
  <si>
    <t>NET</t>
  </si>
  <si>
    <t>Core operating invested capital (net)</t>
  </si>
  <si>
    <t>Net Invested Capital</t>
  </si>
  <si>
    <t>Non-core net invested capital</t>
  </si>
  <si>
    <t>ROI (NET)</t>
  </si>
  <si>
    <t>Tax assers (deferred, income, other taxes)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</si>
</sst>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theme="1"/>
      <name val="Arial"/>
      <family val="2"/>
    </font>
    <font>
      <b/>
      <sz val="10"/>
      <color theme="1"/>
      <name val="Arial"/>
      <family val="2"/>
    </font>
    <font>
      <sz val="10"/>
      <color rgb="FF646464"/>
      <name val="Arial"/>
      <family val="2"/>
    </font>
    <font>
      <b/>
      <sz val="10"/>
      <color rgb="FF003366"/>
      <name val="Arial"/>
      <family val="2"/>
    </font>
    <font>
      <sz val="10"/>
      <color rgb="FFFF0000"/>
      <name val="Arial"/>
      <family val="2"/>
    </font>
    <font>
      <b/>
      <sz val="10"/>
      <color rgb="FF000000"/>
      <name val="Arial"/>
      <family val="2"/>
    </font>
    <font>
      <sz val="11"/>
      <color rgb="FF242424"/>
      <name val="Aptos Narrow"/>
    </font>
    <font>
      <sz val="10"/>
      <color rgb="FF000000"/>
      <name val="Arial"/>
      <family val="2"/>
    </font>
    <font>
      <i/>
      <sz val="10"/>
      <color theme="1"/>
      <name val="Arial"/>
      <family val="2"/>
    </font>
    <font>
      <i/>
      <sz val="10"/>
      <color rgb="FF000000"/>
      <name val="Arial"/>
      <family val="2"/>
    </font>
    <font>
      <u/>
      <sz val="10"/>
      <color theme="10"/>
      <name val="Arial"/>
      <family val="2"/>
    </font>
    <font>
      <sz val="11"/>
      <color rgb="FF242424"/>
      <name val="Consolas"/>
      <family val="2"/>
    </font>
    <font>
      <b/>
      <u/>
      <sz val="10"/>
      <color theme="10"/>
      <name val="Arial"/>
      <family val="2"/>
    </font>
    <font>
      <b/>
      <sz val="10"/>
      <color rgb="FF000000"/>
      <name val="Arial"/>
      <family val="2"/>
    </font>
  </fonts>
  <fills count="7">
    <fill>
      <patternFill patternType="none"/>
    </fill>
    <fill>
      <patternFill patternType="gray125"/>
    </fill>
    <fill>
      <patternFill patternType="solid">
        <fgColor rgb="FFC8C8C8"/>
        <bgColor indexed="64"/>
      </patternFill>
    </fill>
    <fill>
      <patternFill patternType="solid">
        <fgColor rgb="FFF0F0F0"/>
        <bgColor indexed="64"/>
      </patternFill>
    </fill>
    <fill>
      <patternFill patternType="solid">
        <fgColor theme="0"/>
        <bgColor indexed="64"/>
      </patternFill>
    </fill>
    <fill>
      <patternFill patternType="solid">
        <fgColor theme="0" tint="-4.9989318521683403E-2"/>
        <bgColor indexed="64"/>
      </patternFill>
    </fill>
    <fill>
      <patternFill patternType="solid">
        <fgColor theme="2"/>
        <bgColor indexed="64"/>
      </patternFill>
    </fill>
  </fills>
  <borders count="13">
    <border>
      <left/>
      <right/>
      <top/>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2">
    <xf numFmtId="0" fontId="0" fillId="0" borderId="0"/>
    <xf numFmtId="0" fontId="10" fillId="0" borderId="0" applyNumberFormat="0" applyFill="0" applyBorder="0" applyAlignment="0" applyProtection="0"/>
  </cellStyleXfs>
  <cellXfs count="85">
    <xf numFmtId="0" fontId="0" fillId="0" borderId="0" xfId="0"/>
    <xf numFmtId="0" fontId="1" fillId="2" borderId="0" xfId="0" applyFont="1" applyFill="1" applyAlignment="1">
      <alignment horizontal="left"/>
    </xf>
    <xf numFmtId="0" fontId="3" fillId="0" borderId="0" xfId="0" applyFont="1" applyAlignment="1">
      <alignment horizontal="left"/>
    </xf>
    <xf numFmtId="0" fontId="3" fillId="0" borderId="0" xfId="0" applyFont="1" applyAlignment="1">
      <alignment horizontal="left" indent="3"/>
    </xf>
    <xf numFmtId="0" fontId="3" fillId="3" borderId="0" xfId="0" applyFont="1" applyFill="1" applyAlignment="1">
      <alignment horizontal="left" indent="3"/>
    </xf>
    <xf numFmtId="0" fontId="3" fillId="0" borderId="0" xfId="0" applyFont="1" applyAlignment="1">
      <alignment horizontal="left" indent="6"/>
    </xf>
    <xf numFmtId="3" fontId="3" fillId="0" borderId="0" xfId="0" applyNumberFormat="1" applyFont="1" applyAlignment="1">
      <alignment horizontal="right"/>
    </xf>
    <xf numFmtId="0" fontId="0" fillId="0" borderId="0" xfId="0" applyAlignment="1">
      <alignment horizontal="left" indent="7"/>
    </xf>
    <xf numFmtId="0" fontId="0" fillId="3" borderId="0" xfId="0" applyFill="1" applyAlignment="1">
      <alignment horizontal="left" indent="7"/>
    </xf>
    <xf numFmtId="0" fontId="0" fillId="0" borderId="0" xfId="0" applyAlignment="1">
      <alignment horizontal="left" indent="4"/>
    </xf>
    <xf numFmtId="0" fontId="0" fillId="3" borderId="0" xfId="0" applyFill="1" applyAlignment="1">
      <alignment horizontal="left" indent="4"/>
    </xf>
    <xf numFmtId="0" fontId="0" fillId="3" borderId="0" xfId="0" applyFill="1" applyAlignment="1">
      <alignment horizontal="left"/>
    </xf>
    <xf numFmtId="0" fontId="0" fillId="0" borderId="0" xfId="0" applyAlignment="1">
      <alignment horizontal="left"/>
    </xf>
    <xf numFmtId="0" fontId="3" fillId="3" borderId="0" xfId="0" applyFont="1" applyFill="1" applyAlignment="1">
      <alignment horizontal="left" indent="6"/>
    </xf>
    <xf numFmtId="0" fontId="2" fillId="0" borderId="0" xfId="0" applyFont="1" applyAlignment="1">
      <alignment horizontal="left"/>
    </xf>
    <xf numFmtId="0" fontId="1" fillId="0" borderId="0" xfId="0" applyFont="1"/>
    <xf numFmtId="0" fontId="0" fillId="0" borderId="1" xfId="0" applyBorder="1"/>
    <xf numFmtId="0" fontId="0" fillId="0" borderId="2" xfId="0" applyBorder="1"/>
    <xf numFmtId="0" fontId="0" fillId="3" borderId="0" xfId="0" applyFill="1" applyAlignment="1">
      <alignment horizontal="left" indent="1"/>
    </xf>
    <xf numFmtId="0" fontId="0" fillId="0" borderId="0" xfId="0" applyAlignment="1">
      <alignment horizontal="left" indent="1"/>
    </xf>
    <xf numFmtId="0" fontId="3" fillId="3" borderId="0" xfId="0" applyFont="1" applyFill="1" applyAlignment="1">
      <alignment horizontal="left"/>
    </xf>
    <xf numFmtId="3" fontId="4" fillId="3" borderId="0" xfId="0" applyNumberFormat="1" applyFont="1" applyFill="1" applyAlignment="1">
      <alignment horizontal="right"/>
    </xf>
    <xf numFmtId="3" fontId="3" fillId="3" borderId="0" xfId="0" applyNumberFormat="1" applyFont="1" applyFill="1" applyAlignment="1">
      <alignment horizontal="right"/>
    </xf>
    <xf numFmtId="0" fontId="0" fillId="4" borderId="0" xfId="0" applyFill="1" applyAlignment="1">
      <alignment horizontal="left"/>
    </xf>
    <xf numFmtId="0" fontId="0" fillId="4" borderId="0" xfId="0" applyFill="1"/>
    <xf numFmtId="0" fontId="0" fillId="5" borderId="0" xfId="0" applyFill="1" applyAlignment="1">
      <alignment horizontal="left"/>
    </xf>
    <xf numFmtId="0" fontId="5" fillId="4" borderId="0" xfId="0" applyFont="1" applyFill="1" applyAlignment="1">
      <alignment horizontal="left"/>
    </xf>
    <xf numFmtId="1" fontId="0" fillId="0" borderId="0" xfId="0" applyNumberFormat="1"/>
    <xf numFmtId="0" fontId="1" fillId="4" borderId="0" xfId="0" applyFont="1" applyFill="1"/>
    <xf numFmtId="1" fontId="0" fillId="4" borderId="0" xfId="0" applyNumberFormat="1" applyFill="1"/>
    <xf numFmtId="0" fontId="5" fillId="0" borderId="0" xfId="0" applyFont="1"/>
    <xf numFmtId="0" fontId="7" fillId="0" borderId="0" xfId="0" applyFont="1"/>
    <xf numFmtId="0" fontId="8" fillId="0" borderId="0" xfId="0" applyFont="1"/>
    <xf numFmtId="0" fontId="0" fillId="6" borderId="0" xfId="0" applyFill="1"/>
    <xf numFmtId="0" fontId="5" fillId="6" borderId="0" xfId="0" applyFont="1" applyFill="1"/>
    <xf numFmtId="0" fontId="1" fillId="6" borderId="0" xfId="0" applyFont="1" applyFill="1"/>
    <xf numFmtId="0" fontId="9" fillId="6" borderId="0" xfId="0" applyFont="1" applyFill="1"/>
    <xf numFmtId="0" fontId="8" fillId="6" borderId="0" xfId="0" applyFont="1" applyFill="1"/>
    <xf numFmtId="0" fontId="5" fillId="6" borderId="0" xfId="0" applyFont="1" applyFill="1" applyAlignment="1">
      <alignment horizontal="left"/>
    </xf>
    <xf numFmtId="1" fontId="1" fillId="6" borderId="0" xfId="0" applyNumberFormat="1" applyFont="1" applyFill="1"/>
    <xf numFmtId="1" fontId="0" fillId="4" borderId="0" xfId="0" applyNumberFormat="1" applyFill="1" applyAlignment="1">
      <alignment horizontal="right"/>
    </xf>
    <xf numFmtId="0" fontId="0" fillId="4" borderId="0" xfId="0" applyFill="1" applyAlignment="1">
      <alignment horizontal="right"/>
    </xf>
    <xf numFmtId="0" fontId="6" fillId="4" borderId="0" xfId="0" applyFont="1" applyFill="1"/>
    <xf numFmtId="0" fontId="0" fillId="6" borderId="0" xfId="0" applyFill="1" applyAlignment="1">
      <alignment horizontal="left"/>
    </xf>
    <xf numFmtId="1" fontId="0" fillId="6" borderId="0" xfId="0" applyNumberFormat="1" applyFill="1"/>
    <xf numFmtId="1" fontId="1" fillId="6" borderId="0" xfId="0" applyNumberFormat="1" applyFont="1" applyFill="1" applyAlignment="1">
      <alignment horizontal="right"/>
    </xf>
    <xf numFmtId="0" fontId="1" fillId="6" borderId="0" xfId="0" applyFont="1" applyFill="1" applyAlignment="1">
      <alignment horizontal="right"/>
    </xf>
    <xf numFmtId="3" fontId="1" fillId="6" borderId="0" xfId="0" applyNumberFormat="1" applyFont="1" applyFill="1" applyAlignment="1">
      <alignment horizontal="right"/>
    </xf>
    <xf numFmtId="0" fontId="7" fillId="0" borderId="0" xfId="0" applyFont="1" applyAlignment="1">
      <alignment horizontal="left" indent="6"/>
    </xf>
    <xf numFmtId="0" fontId="0" fillId="0" borderId="0" xfId="0" applyAlignment="1">
      <alignment horizontal="right"/>
    </xf>
    <xf numFmtId="0" fontId="0" fillId="6" borderId="0" xfId="0" applyFill="1" applyAlignment="1">
      <alignment horizontal="right"/>
    </xf>
    <xf numFmtId="0" fontId="1" fillId="0" borderId="0" xfId="0" applyFont="1" applyAlignment="1">
      <alignment horizontal="right"/>
    </xf>
    <xf numFmtId="0" fontId="1" fillId="6" borderId="0" xfId="0" applyFont="1" applyFill="1" applyAlignment="1">
      <alignment horizontal="left"/>
    </xf>
    <xf numFmtId="1" fontId="1" fillId="4" borderId="0" xfId="0" applyNumberFormat="1" applyFont="1" applyFill="1"/>
    <xf numFmtId="0" fontId="10" fillId="0" borderId="0" xfId="1"/>
    <xf numFmtId="3" fontId="0" fillId="0" borderId="0" xfId="0" applyNumberFormat="1"/>
    <xf numFmtId="0" fontId="1" fillId="0" borderId="0" xfId="0" applyFont="1" applyAlignment="1">
      <alignment horizontal="left"/>
    </xf>
    <xf numFmtId="0" fontId="0" fillId="0" borderId="3" xfId="0" applyBorder="1"/>
    <xf numFmtId="0" fontId="1" fillId="0" borderId="3" xfId="0" applyFont="1" applyBorder="1"/>
    <xf numFmtId="10" fontId="0" fillId="0" borderId="3" xfId="0" applyNumberFormat="1" applyBorder="1"/>
    <xf numFmtId="1" fontId="0" fillId="0" borderId="3" xfId="0" applyNumberFormat="1" applyBorder="1"/>
    <xf numFmtId="3" fontId="0" fillId="0" borderId="3" xfId="0" applyNumberFormat="1" applyBorder="1"/>
    <xf numFmtId="0" fontId="0" fillId="0" borderId="4" xfId="0" applyBorder="1"/>
    <xf numFmtId="0" fontId="0" fillId="4" borderId="4" xfId="0" applyFill="1" applyBorder="1"/>
    <xf numFmtId="10" fontId="0" fillId="4" borderId="4" xfId="0" applyNumberFormat="1" applyFill="1" applyBorder="1"/>
    <xf numFmtId="10" fontId="0" fillId="0" borderId="4" xfId="0" applyNumberFormat="1" applyBorder="1"/>
    <xf numFmtId="0" fontId="1" fillId="0" borderId="5" xfId="0" applyFont="1" applyBorder="1"/>
    <xf numFmtId="0" fontId="0" fillId="0" borderId="6" xfId="0" applyBorder="1"/>
    <xf numFmtId="1" fontId="0" fillId="0" borderId="6" xfId="0" applyNumberFormat="1" applyBorder="1"/>
    <xf numFmtId="0" fontId="0" fillId="0" borderId="7" xfId="0" applyBorder="1"/>
    <xf numFmtId="0" fontId="0" fillId="0" borderId="8" xfId="0" applyBorder="1"/>
    <xf numFmtId="0" fontId="0" fillId="0" borderId="9" xfId="0" applyBorder="1"/>
    <xf numFmtId="0" fontId="12" fillId="0" borderId="0" xfId="1" applyFont="1" applyFill="1"/>
    <xf numFmtId="10" fontId="1" fillId="0" borderId="0" xfId="0" applyNumberFormat="1" applyFont="1"/>
    <xf numFmtId="10" fontId="0" fillId="0" borderId="0" xfId="0" applyNumberFormat="1"/>
    <xf numFmtId="0" fontId="11" fillId="0" borderId="0" xfId="0" quotePrefix="1" applyFont="1"/>
    <xf numFmtId="0" fontId="13" fillId="0" borderId="3" xfId="0" applyFont="1" applyBorder="1"/>
    <xf numFmtId="0" fontId="0" fillId="0" borderId="11" xfId="0" applyBorder="1"/>
    <xf numFmtId="0" fontId="0" fillId="0" borderId="12" xfId="0" applyBorder="1"/>
    <xf numFmtId="0" fontId="1" fillId="0" borderId="10" xfId="0" applyFont="1" applyBorder="1"/>
    <xf numFmtId="0" fontId="13" fillId="0" borderId="5" xfId="0" applyFont="1" applyBorder="1"/>
    <xf numFmtId="0" fontId="5" fillId="0" borderId="4" xfId="0" applyFont="1" applyBorder="1"/>
    <xf numFmtId="0" fontId="7" fillId="0" borderId="0" xfId="0" applyFont="1" applyAlignment="1">
      <alignment horizontal="left"/>
    </xf>
    <xf numFmtId="0" fontId="7" fillId="6" borderId="0" xfId="0" applyFont="1" applyFill="1" applyAlignment="1">
      <alignment horizontal="left"/>
    </xf>
    <xf numFmtId="0" fontId="5"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390525</xdr:colOff>
      <xdr:row>4</xdr:row>
      <xdr:rowOff>95250</xdr:rowOff>
    </xdr:from>
    <xdr:to>
      <xdr:col>6</xdr:col>
      <xdr:colOff>209550</xdr:colOff>
      <xdr:row>12</xdr:row>
      <xdr:rowOff>66675</xdr:rowOff>
    </xdr:to>
    <xdr:sp macro="" textlink="">
      <xdr:nvSpPr>
        <xdr:cNvPr id="2" name="TextBox 1">
          <a:extLst>
            <a:ext uri="{FF2B5EF4-FFF2-40B4-BE49-F238E27FC236}">
              <a16:creationId xmlns:a16="http://schemas.microsoft.com/office/drawing/2014/main" id="{552E544B-CA8A-6E32-F3FF-3737B1ED5272}"/>
            </a:ext>
          </a:extLst>
        </xdr:cNvPr>
        <xdr:cNvSpPr txBox="1"/>
      </xdr:nvSpPr>
      <xdr:spPr>
        <a:xfrm>
          <a:off x="4076700" y="742950"/>
          <a:ext cx="2781300" cy="12668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ROE fell from 18.1% in 2024 to 14.9% in 2025. The main drivers were the large drag of discontinued operations in 2025, lowering Net income to EBT, and the fall of leverage (bond conversion raised equity). The effect was only partly offset by higher asset turnover.</a:t>
          </a:r>
        </a:p>
      </xdr:txBody>
    </xdr:sp>
    <xdr:clientData/>
  </xdr:twoCellAnchor>
  <xdr:twoCellAnchor>
    <xdr:from>
      <xdr:col>4</xdr:col>
      <xdr:colOff>355600</xdr:colOff>
      <xdr:row>27</xdr:row>
      <xdr:rowOff>38100</xdr:rowOff>
    </xdr:from>
    <xdr:to>
      <xdr:col>6</xdr:col>
      <xdr:colOff>257175</xdr:colOff>
      <xdr:row>35</xdr:row>
      <xdr:rowOff>12700</xdr:rowOff>
    </xdr:to>
    <xdr:sp macro="" textlink="">
      <xdr:nvSpPr>
        <xdr:cNvPr id="5" name="TextBox 2">
          <a:extLst>
            <a:ext uri="{FF2B5EF4-FFF2-40B4-BE49-F238E27FC236}">
              <a16:creationId xmlns:a16="http://schemas.microsoft.com/office/drawing/2014/main" id="{6D8EBCD5-CECC-2643-9582-CC724A2D9A53}"/>
            </a:ext>
            <a:ext uri="{147F2762-F138-4A5C-976F-8EAC2B608ADB}">
              <a16:predDERef xmlns:a16="http://schemas.microsoft.com/office/drawing/2014/main" pred="{552E544B-CA8A-6E32-F3FF-3737B1ED5272}"/>
            </a:ext>
          </a:extLst>
        </xdr:cNvPr>
        <xdr:cNvSpPr txBox="1"/>
      </xdr:nvSpPr>
      <xdr:spPr>
        <a:xfrm>
          <a:off x="5359400" y="4330700"/>
          <a:ext cx="3267075" cy="12954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ROE</a:t>
          </a:r>
          <a:r>
            <a:rPr lang="en-US" sz="1100" baseline="0">
              <a:latin typeface="+mn-lt"/>
              <a:ea typeface="+mn-lt"/>
              <a:cs typeface="+mn-lt"/>
            </a:rPr>
            <a:t> according to MM fell by roughly 8%, from 22.4% in 2024 to 14.0% in 2025. This decrease was driven by unusual items producing expenses in 2025 as opposed to returns in 2024. </a:t>
          </a:r>
          <a:endParaRPr lang="en-US" sz="1100">
            <a:latin typeface="+mn-lt"/>
            <a:ea typeface="+mn-lt"/>
            <a:cs typeface="+mn-lt"/>
          </a:endParaRPr>
        </a:p>
      </xdr:txBody>
    </xdr:sp>
    <xdr:clientData/>
  </xdr:twoCellAnchor>
  <xdr:twoCellAnchor>
    <xdr:from>
      <xdr:col>4</xdr:col>
      <xdr:colOff>457200</xdr:colOff>
      <xdr:row>48</xdr:row>
      <xdr:rowOff>127000</xdr:rowOff>
    </xdr:from>
    <xdr:to>
      <xdr:col>6</xdr:col>
      <xdr:colOff>276225</xdr:colOff>
      <xdr:row>56</xdr:row>
      <xdr:rowOff>98425</xdr:rowOff>
    </xdr:to>
    <xdr:sp macro="" textlink="">
      <xdr:nvSpPr>
        <xdr:cNvPr id="8" name="TextBox 3">
          <a:extLst>
            <a:ext uri="{FF2B5EF4-FFF2-40B4-BE49-F238E27FC236}">
              <a16:creationId xmlns:a16="http://schemas.microsoft.com/office/drawing/2014/main" id="{D9DF6454-DEFA-D749-BE02-DBC226C8EF64}"/>
            </a:ext>
            <a:ext uri="{147F2762-F138-4A5C-976F-8EAC2B608ADB}">
              <a16:predDERef xmlns:a16="http://schemas.microsoft.com/office/drawing/2014/main" pred="{6D8EBCD5-CECC-2643-9582-CC724A2D9A53}"/>
            </a:ext>
          </a:extLst>
        </xdr:cNvPr>
        <xdr:cNvSpPr txBox="1"/>
      </xdr:nvSpPr>
      <xdr:spPr>
        <a:xfrm>
          <a:off x="5461000" y="7886700"/>
          <a:ext cx="3184525" cy="12922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ROE according to Penman fell by roughly 8% from 22.4% in 2024 to 14% in 2025. This decrease largely mirrored MM, since unusual items turned negative due to large discontinued operations loss and negative OCI, while the income before unusual items to net equity ration actually increased.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165100</xdr:colOff>
      <xdr:row>20</xdr:row>
      <xdr:rowOff>139700</xdr:rowOff>
    </xdr:from>
    <xdr:to>
      <xdr:col>2</xdr:col>
      <xdr:colOff>174625</xdr:colOff>
      <xdr:row>28</xdr:row>
      <xdr:rowOff>85725</xdr:rowOff>
    </xdr:to>
    <xdr:sp macro="" textlink="">
      <xdr:nvSpPr>
        <xdr:cNvPr id="2" name="TextBox 1">
          <a:extLst>
            <a:ext uri="{FF2B5EF4-FFF2-40B4-BE49-F238E27FC236}">
              <a16:creationId xmlns:a16="http://schemas.microsoft.com/office/drawing/2014/main" id="{D6AB9403-E336-C148-9B3D-A5388961D30F}"/>
            </a:ext>
          </a:extLst>
        </xdr:cNvPr>
        <xdr:cNvSpPr txBox="1"/>
      </xdr:nvSpPr>
      <xdr:spPr>
        <a:xfrm>
          <a:off x="165100" y="3441700"/>
          <a:ext cx="3184525" cy="12922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Gross ROI increased by 1.2%,</a:t>
          </a:r>
          <a:r>
            <a:rPr lang="en-US" sz="1100" baseline="0">
              <a:latin typeface="+mn-lt"/>
              <a:ea typeface="+mn-lt"/>
              <a:cs typeface="+mn-lt"/>
            </a:rPr>
            <a:t> from 9.7% in 2024 to 10.9% in 2025. This increase was driven by the increase in core operating income, and the almost doubling of non-core operating invested capital.</a:t>
          </a:r>
          <a:endParaRPr lang="en-US" sz="1100">
            <a:latin typeface="+mn-lt"/>
            <a:ea typeface="+mn-lt"/>
            <a:cs typeface="+mn-lt"/>
          </a:endParaRPr>
        </a:p>
      </xdr:txBody>
    </xdr:sp>
    <xdr:clientData/>
  </xdr:twoCellAnchor>
  <xdr:twoCellAnchor>
    <xdr:from>
      <xdr:col>0</xdr:col>
      <xdr:colOff>152400</xdr:colOff>
      <xdr:row>30</xdr:row>
      <xdr:rowOff>25400</xdr:rowOff>
    </xdr:from>
    <xdr:to>
      <xdr:col>2</xdr:col>
      <xdr:colOff>161925</xdr:colOff>
      <xdr:row>37</xdr:row>
      <xdr:rowOff>161925</xdr:rowOff>
    </xdr:to>
    <xdr:sp macro="" textlink="">
      <xdr:nvSpPr>
        <xdr:cNvPr id="3" name="TextBox 2">
          <a:extLst>
            <a:ext uri="{FF2B5EF4-FFF2-40B4-BE49-F238E27FC236}">
              <a16:creationId xmlns:a16="http://schemas.microsoft.com/office/drawing/2014/main" id="{C7D112C2-487D-BD4D-A24D-2BA532A06D97}"/>
            </a:ext>
          </a:extLst>
        </xdr:cNvPr>
        <xdr:cNvSpPr txBox="1"/>
      </xdr:nvSpPr>
      <xdr:spPr>
        <a:xfrm>
          <a:off x="152400" y="5003800"/>
          <a:ext cx="3184525" cy="12922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Ne</a:t>
          </a:r>
          <a:r>
            <a:rPr lang="en-US" sz="1100" baseline="0">
              <a:latin typeface="+mn-lt"/>
              <a:ea typeface="+mn-lt"/>
              <a:cs typeface="+mn-lt"/>
            </a:rPr>
            <a:t>t ROI increased by roughly 6.2%, from 20.5% in 2024 to 26.7% in 2025. This change was chaused by the increases in core operating and non-operating income, and decrease in the Net Invested Capital.</a:t>
          </a:r>
          <a:endParaRPr lang="en-US" sz="1100">
            <a:latin typeface="+mn-lt"/>
            <a:ea typeface="+mn-lt"/>
            <a:cs typeface="+mn-lt"/>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E177866-B712-4AFC-857D-7264B317D00C}">
  <we:reference id="367F4E28-F27A-41A8-92A6-9F79D56CB19E" version="3.1.1.0" store="excatalog" storeType="excatalog"/>
  <we:alternateReferences>
    <we:reference id="WA200001456" version="3.1.1.0" store="en-us" storeType="omex"/>
  </we:alternateReferences>
  <we:properties>
    <we:property name="Office.DisableTrustUX" value="true"/>
  </we:properties>
  <we:bindings>
    <we:binding id="2e7d247b-df27-4306-b4c3-0b83c2645e6e" type="matrix" appref="{34928BE9-2BC1-4A2A-B735-A3DC9605CA53}"/>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FDS</we:customFunctionIds>
        <we:customFunctionIds>FDSN</we:customFunctionIds>
        <we:customFunctionIds>FDSZ</we:customFunctionIds>
        <we:customFunctionIds>FDSB</we:customFunctionIds>
        <we:customFunctionIds>FDSC</we:customFunctionIds>
        <we:customFunctionIds>FDSR</we:customFunctionIds>
        <we:customFunctionIds>FDSRN</we:customFunctionIds>
        <we:customFunctionIds>FDSRZ</we:customFunctionIds>
        <we:customFunctionIds>FDSRB</we:customFunctionIds>
        <we:customFunctionIds>FDSRC</we:customFunctionIds>
        <we:customFunctionIds>FDSLIVE</we:customFunctionIds>
        <we:customFunctionIds>FactSetLive.RTDFunction.1.FDSLIVE</we:customFunctionIds>
      </we:customFunctionIdList>
    </a:ext>
  </we:extLst>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8A09E-A4D5-CD48-BF58-C5373670CEA3}">
  <sheetPr>
    <outlinePr summaryBelow="0" summaryRight="0"/>
  </sheetPr>
  <dimension ref="A1:K82"/>
  <sheetViews>
    <sheetView showGridLines="0" tabSelected="1" topLeftCell="A9" zoomScale="90" zoomScaleNormal="90" workbookViewId="0">
      <selection activeCell="E21" sqref="E21"/>
    </sheetView>
  </sheetViews>
  <sheetFormatPr baseColWidth="10" defaultColWidth="9.1640625" defaultRowHeight="15" customHeight="1" outlineLevelRow="2" x14ac:dyDescent="0.15"/>
  <cols>
    <col min="1" max="1" width="70.1640625" bestFit="1" customWidth="1"/>
    <col min="2" max="6" width="10.5" customWidth="1"/>
    <col min="7" max="7" width="75.1640625" bestFit="1" customWidth="1"/>
    <col min="8" max="10" width="10.6640625" bestFit="1" customWidth="1"/>
    <col min="11" max="11" width="10.5" customWidth="1"/>
    <col min="12" max="12" width="12.33203125" bestFit="1" customWidth="1"/>
  </cols>
  <sheetData>
    <row r="1" spans="1:9" ht="15" customHeight="1" x14ac:dyDescent="0.15">
      <c r="A1" s="15" t="s">
        <v>0</v>
      </c>
    </row>
    <row r="2" spans="1:9" ht="15" customHeight="1" x14ac:dyDescent="0.15">
      <c r="A2" s="17" t="s">
        <v>1</v>
      </c>
    </row>
    <row r="3" spans="1:9" ht="15" customHeight="1" x14ac:dyDescent="0.15">
      <c r="A3" s="16"/>
      <c r="B3" s="16"/>
      <c r="C3" s="16"/>
      <c r="D3" s="16"/>
    </row>
    <row r="5" spans="1:9" ht="15" customHeight="1" x14ac:dyDescent="0.15">
      <c r="A5" s="1" t="s">
        <v>2</v>
      </c>
      <c r="B5" s="1"/>
      <c r="C5" s="1"/>
      <c r="G5" s="1" t="s">
        <v>3</v>
      </c>
      <c r="H5" s="1"/>
      <c r="I5" s="1"/>
    </row>
    <row r="6" spans="1:9" ht="15" customHeight="1" x14ac:dyDescent="0.15">
      <c r="A6" s="1" t="s">
        <v>4</v>
      </c>
      <c r="B6" s="1"/>
      <c r="C6" s="1"/>
      <c r="G6" s="1" t="s">
        <v>4</v>
      </c>
      <c r="H6" s="1"/>
      <c r="I6" s="1"/>
    </row>
    <row r="7" spans="1:9" ht="15" customHeight="1" x14ac:dyDescent="0.15">
      <c r="A7" s="1"/>
      <c r="B7" s="1"/>
      <c r="C7" s="1"/>
      <c r="G7" s="1"/>
      <c r="H7" s="1"/>
      <c r="I7" s="1"/>
    </row>
    <row r="8" spans="1:9" ht="15" customHeight="1" x14ac:dyDescent="0.15">
      <c r="A8" s="1"/>
      <c r="B8" s="1" t="s">
        <v>5</v>
      </c>
      <c r="C8" s="1" t="s">
        <v>6</v>
      </c>
      <c r="G8" s="1"/>
      <c r="H8" s="1" t="s">
        <v>5</v>
      </c>
      <c r="I8" s="1" t="s">
        <v>6</v>
      </c>
    </row>
    <row r="9" spans="1:9" ht="15" customHeight="1" x14ac:dyDescent="0.15">
      <c r="A9" s="1"/>
      <c r="B9" s="1"/>
      <c r="C9" s="1"/>
      <c r="F9" s="15"/>
      <c r="G9" s="1"/>
      <c r="H9" s="1"/>
      <c r="I9" s="1"/>
    </row>
    <row r="10" spans="1:9" ht="15" customHeight="1" x14ac:dyDescent="0.15">
      <c r="A10" s="11" t="s">
        <v>7</v>
      </c>
      <c r="B10" s="33">
        <v>9935</v>
      </c>
      <c r="C10" s="33">
        <v>7715</v>
      </c>
      <c r="G10" s="43" t="s">
        <v>7</v>
      </c>
      <c r="H10" s="33">
        <f t="shared" ref="H10:I11" si="0">B10</f>
        <v>9935</v>
      </c>
      <c r="I10" s="33">
        <f t="shared" si="0"/>
        <v>7715</v>
      </c>
    </row>
    <row r="11" spans="1:9" ht="15" customHeight="1" x14ac:dyDescent="0.15">
      <c r="A11" s="12" t="s">
        <v>8</v>
      </c>
      <c r="B11">
        <v>521</v>
      </c>
      <c r="C11">
        <v>132</v>
      </c>
      <c r="G11" s="23" t="s">
        <v>8</v>
      </c>
      <c r="H11" s="24">
        <f t="shared" si="0"/>
        <v>521</v>
      </c>
      <c r="I11" s="24">
        <f t="shared" si="0"/>
        <v>132</v>
      </c>
    </row>
    <row r="12" spans="1:9" ht="15" customHeight="1" x14ac:dyDescent="0.15">
      <c r="A12" s="11" t="s">
        <v>9</v>
      </c>
      <c r="B12" s="33">
        <v>10456</v>
      </c>
      <c r="C12" s="33">
        <v>7847</v>
      </c>
      <c r="G12" s="38" t="s">
        <v>10</v>
      </c>
      <c r="H12" s="35">
        <f>H10+H11</f>
        <v>10456</v>
      </c>
      <c r="I12" s="35">
        <f>I10+I11</f>
        <v>7847</v>
      </c>
    </row>
    <row r="13" spans="1:9" ht="15" customHeight="1" x14ac:dyDescent="0.15">
      <c r="A13" s="12" t="s">
        <v>11</v>
      </c>
      <c r="B13" s="12"/>
      <c r="C13" s="12"/>
      <c r="G13" s="23" t="s">
        <v>12</v>
      </c>
      <c r="H13" s="40">
        <f>B19</f>
        <v>-5252</v>
      </c>
      <c r="I13" s="41">
        <f>C19</f>
        <v>-3693</v>
      </c>
    </row>
    <row r="14" spans="1:9" ht="15" customHeight="1" x14ac:dyDescent="0.15">
      <c r="A14" s="11" t="s">
        <v>13</v>
      </c>
      <c r="B14" s="33">
        <v>10456</v>
      </c>
      <c r="C14" s="33">
        <v>7847</v>
      </c>
      <c r="G14" s="43" t="s">
        <v>14</v>
      </c>
      <c r="H14" s="44">
        <v>-1100</v>
      </c>
      <c r="I14" s="33">
        <v>-870</v>
      </c>
    </row>
    <row r="15" spans="1:9" ht="15" customHeight="1" x14ac:dyDescent="0.15">
      <c r="A15" s="12" t="s">
        <v>15</v>
      </c>
      <c r="B15" s="12"/>
      <c r="C15" s="12"/>
      <c r="G15" s="23" t="s">
        <v>16</v>
      </c>
      <c r="H15" s="40">
        <v>110</v>
      </c>
      <c r="I15" s="41">
        <v>98</v>
      </c>
    </row>
    <row r="16" spans="1:9" ht="15" customHeight="1" x14ac:dyDescent="0.15">
      <c r="A16" s="11" t="s">
        <v>17</v>
      </c>
      <c r="B16" s="11"/>
      <c r="C16" s="11"/>
      <c r="G16" s="38" t="s">
        <v>18</v>
      </c>
      <c r="H16" s="45">
        <f>H12+H13+H14+H15</f>
        <v>4214</v>
      </c>
      <c r="I16" s="46">
        <f>I12+I13+I14+I15</f>
        <v>3382</v>
      </c>
    </row>
    <row r="17" spans="1:9" ht="15" customHeight="1" x14ac:dyDescent="0.15">
      <c r="A17" s="12" t="s">
        <v>19</v>
      </c>
      <c r="B17" s="12"/>
      <c r="C17" s="12"/>
      <c r="G17" s="23" t="s">
        <v>20</v>
      </c>
      <c r="H17" s="40">
        <f>B21</f>
        <v>-2314</v>
      </c>
      <c r="I17" s="41">
        <f>C21</f>
        <v>-1844</v>
      </c>
    </row>
    <row r="18" spans="1:9" ht="15" customHeight="1" x14ac:dyDescent="0.15">
      <c r="A18" s="11" t="s">
        <v>16</v>
      </c>
      <c r="B18" s="33">
        <v>273</v>
      </c>
      <c r="C18" s="33">
        <v>178</v>
      </c>
      <c r="G18" s="38" t="s">
        <v>21</v>
      </c>
      <c r="H18" s="35">
        <f>H16+H17</f>
        <v>1900</v>
      </c>
      <c r="I18" s="35">
        <f>I16+I17</f>
        <v>1538</v>
      </c>
    </row>
    <row r="19" spans="1:9" ht="15" customHeight="1" x14ac:dyDescent="0.2">
      <c r="A19" s="23" t="s">
        <v>12</v>
      </c>
      <c r="B19" s="24">
        <v>-5252</v>
      </c>
      <c r="C19" s="24">
        <v>-3693</v>
      </c>
      <c r="E19" s="24"/>
      <c r="G19" s="42" t="s">
        <v>22</v>
      </c>
      <c r="H19" s="29">
        <v>-389</v>
      </c>
      <c r="I19" s="24">
        <f>C22</f>
        <v>-284</v>
      </c>
    </row>
    <row r="20" spans="1:9" ht="15" customHeight="1" x14ac:dyDescent="0.2">
      <c r="A20" s="23"/>
      <c r="B20" s="24"/>
      <c r="C20" s="24"/>
      <c r="E20" s="24"/>
      <c r="G20" s="42" t="s">
        <v>23</v>
      </c>
      <c r="H20" s="29">
        <v>7</v>
      </c>
      <c r="I20" s="24">
        <v>2</v>
      </c>
    </row>
    <row r="21" spans="1:9" ht="15" customHeight="1" x14ac:dyDescent="0.15">
      <c r="A21" s="25" t="s">
        <v>20</v>
      </c>
      <c r="B21" s="33">
        <v>-2314</v>
      </c>
      <c r="C21" s="33">
        <v>-1844</v>
      </c>
      <c r="E21" s="24"/>
      <c r="G21" s="38" t="s">
        <v>24</v>
      </c>
      <c r="H21" s="39">
        <f>H18+H19+H20</f>
        <v>1518</v>
      </c>
      <c r="I21" s="35">
        <f>I18+I19+I20</f>
        <v>1256</v>
      </c>
    </row>
    <row r="22" spans="1:9" ht="15" customHeight="1" x14ac:dyDescent="0.15">
      <c r="A22" s="12" t="s">
        <v>25</v>
      </c>
      <c r="B22">
        <v>-406</v>
      </c>
      <c r="C22">
        <v>-284</v>
      </c>
      <c r="G22" s="23" t="s">
        <v>26</v>
      </c>
      <c r="H22" s="24">
        <v>1</v>
      </c>
      <c r="I22" s="24">
        <f>C24</f>
        <v>-33</v>
      </c>
    </row>
    <row r="23" spans="1:9" ht="15" customHeight="1" x14ac:dyDescent="0.15">
      <c r="A23" s="11" t="s">
        <v>14</v>
      </c>
      <c r="B23" s="33">
        <v>-1112</v>
      </c>
      <c r="C23" s="33">
        <v>-891</v>
      </c>
      <c r="G23" s="43" t="s">
        <v>27</v>
      </c>
      <c r="H23" s="33">
        <v>-22</v>
      </c>
      <c r="I23" s="33">
        <f>C25</f>
        <v>-9</v>
      </c>
    </row>
    <row r="24" spans="1:9" ht="15" customHeight="1" x14ac:dyDescent="0.15">
      <c r="A24" s="12" t="s">
        <v>28</v>
      </c>
      <c r="B24">
        <v>47</v>
      </c>
      <c r="C24">
        <v>-33</v>
      </c>
      <c r="G24" s="52" t="s">
        <v>29</v>
      </c>
      <c r="H24" s="35">
        <f>H23+H22</f>
        <v>-21</v>
      </c>
      <c r="I24" s="35">
        <f>I23+I22</f>
        <v>-42</v>
      </c>
    </row>
    <row r="25" spans="1:9" ht="15" customHeight="1" x14ac:dyDescent="0.15">
      <c r="A25" s="11" t="s">
        <v>27</v>
      </c>
      <c r="B25" s="33">
        <v>-7</v>
      </c>
      <c r="C25" s="33">
        <v>-9</v>
      </c>
      <c r="G25" s="26" t="s">
        <v>30</v>
      </c>
      <c r="H25" s="53">
        <f>H24+H21</f>
        <v>1497</v>
      </c>
      <c r="I25" s="28">
        <f>I24+I21</f>
        <v>1214</v>
      </c>
    </row>
    <row r="26" spans="1:9" ht="15" customHeight="1" x14ac:dyDescent="0.15">
      <c r="A26" s="12" t="s">
        <v>31</v>
      </c>
      <c r="B26" s="27">
        <v>1684</v>
      </c>
      <c r="C26">
        <v>1270</v>
      </c>
      <c r="G26" s="43" t="s">
        <v>32</v>
      </c>
      <c r="H26" s="33">
        <f t="shared" ref="H26:I27" si="1">B28</f>
        <v>4</v>
      </c>
      <c r="I26" s="33">
        <f t="shared" si="1"/>
        <v>14</v>
      </c>
    </row>
    <row r="27" spans="1:9" ht="15" customHeight="1" x14ac:dyDescent="0.15">
      <c r="A27" s="20" t="s">
        <v>33</v>
      </c>
      <c r="B27" s="22">
        <v>-112</v>
      </c>
      <c r="C27" s="22">
        <v>-102</v>
      </c>
      <c r="G27" s="23" t="s">
        <v>34</v>
      </c>
      <c r="H27" s="24">
        <f t="shared" si="1"/>
        <v>-116</v>
      </c>
      <c r="I27" s="24">
        <f t="shared" si="1"/>
        <v>-116</v>
      </c>
    </row>
    <row r="28" spans="1:9" ht="15" customHeight="1" outlineLevel="1" x14ac:dyDescent="0.15">
      <c r="A28" s="19" t="s">
        <v>35</v>
      </c>
      <c r="B28">
        <v>4</v>
      </c>
      <c r="C28">
        <v>14</v>
      </c>
      <c r="G28" s="38" t="s">
        <v>36</v>
      </c>
      <c r="H28" s="47">
        <f>H26+H27</f>
        <v>-112</v>
      </c>
      <c r="I28" s="47">
        <f>I26+I27</f>
        <v>-102</v>
      </c>
    </row>
    <row r="29" spans="1:9" ht="15" customHeight="1" outlineLevel="1" x14ac:dyDescent="0.15">
      <c r="A29" s="18" t="s">
        <v>37</v>
      </c>
      <c r="B29" s="33">
        <v>-116</v>
      </c>
      <c r="C29" s="33">
        <v>-116</v>
      </c>
      <c r="G29" s="26" t="s">
        <v>38</v>
      </c>
      <c r="H29" s="28">
        <f>H28+H24+H21</f>
        <v>1385</v>
      </c>
      <c r="I29" s="28">
        <f>I28+I24+I21</f>
        <v>1112</v>
      </c>
    </row>
    <row r="30" spans="1:9" ht="15" customHeight="1" outlineLevel="1" x14ac:dyDescent="0.15">
      <c r="A30" s="19" t="s">
        <v>39</v>
      </c>
      <c r="B30" s="12"/>
      <c r="C30" s="12"/>
      <c r="G30" s="23" t="s">
        <v>40</v>
      </c>
      <c r="H30" s="33">
        <v>118</v>
      </c>
      <c r="I30" s="33">
        <v>21</v>
      </c>
    </row>
    <row r="31" spans="1:9" ht="15" customHeight="1" outlineLevel="1" x14ac:dyDescent="0.15">
      <c r="A31" s="18" t="s">
        <v>27</v>
      </c>
      <c r="B31" s="11"/>
      <c r="C31" s="11"/>
      <c r="G31" s="33" t="s">
        <v>41</v>
      </c>
      <c r="H31" s="33">
        <v>44</v>
      </c>
      <c r="I31" s="33">
        <v>55</v>
      </c>
    </row>
    <row r="32" spans="1:9" ht="15" customHeight="1" x14ac:dyDescent="0.15">
      <c r="A32" s="12" t="s">
        <v>42</v>
      </c>
      <c r="B32" s="12"/>
      <c r="C32" s="12"/>
      <c r="G32" s="23" t="s">
        <v>43</v>
      </c>
      <c r="H32" s="24">
        <v>-8</v>
      </c>
      <c r="I32" s="24">
        <v>-19</v>
      </c>
    </row>
    <row r="33" spans="1:9" ht="15" customHeight="1" x14ac:dyDescent="0.15">
      <c r="A33" s="11" t="s">
        <v>44</v>
      </c>
      <c r="B33" s="21">
        <v>-112</v>
      </c>
      <c r="C33" s="21">
        <v>-102</v>
      </c>
      <c r="G33" s="23" t="s">
        <v>45</v>
      </c>
      <c r="H33" s="33">
        <v>-17</v>
      </c>
      <c r="I33" s="33">
        <v>2</v>
      </c>
    </row>
    <row r="34" spans="1:9" ht="15" customHeight="1" x14ac:dyDescent="0.15">
      <c r="A34" s="12" t="s">
        <v>46</v>
      </c>
      <c r="B34">
        <v>1572</v>
      </c>
      <c r="C34">
        <v>1168</v>
      </c>
      <c r="G34" s="23" t="s">
        <v>47</v>
      </c>
      <c r="H34" s="24">
        <v>46</v>
      </c>
      <c r="I34" s="24">
        <v>0</v>
      </c>
    </row>
    <row r="35" spans="1:9" ht="15" customHeight="1" x14ac:dyDescent="0.15">
      <c r="A35" s="11" t="s">
        <v>48</v>
      </c>
      <c r="B35" s="33">
        <v>-396</v>
      </c>
      <c r="C35" s="33">
        <v>-328</v>
      </c>
      <c r="G35" s="23" t="s">
        <v>49</v>
      </c>
      <c r="H35" s="33">
        <v>15</v>
      </c>
      <c r="I35" s="33">
        <v>0</v>
      </c>
    </row>
    <row r="36" spans="1:9" ht="15" customHeight="1" x14ac:dyDescent="0.15">
      <c r="A36" s="12" t="s">
        <v>50</v>
      </c>
      <c r="B36">
        <v>1176</v>
      </c>
      <c r="C36">
        <v>840</v>
      </c>
      <c r="G36" s="23" t="s">
        <v>51</v>
      </c>
      <c r="H36" s="24">
        <v>-3</v>
      </c>
      <c r="I36" s="24">
        <v>0</v>
      </c>
    </row>
    <row r="37" spans="1:9" ht="15" customHeight="1" x14ac:dyDescent="0.15">
      <c r="A37" s="11" t="s">
        <v>52</v>
      </c>
      <c r="B37" s="33">
        <v>-341</v>
      </c>
      <c r="C37" s="33">
        <v>-32</v>
      </c>
      <c r="G37" s="23" t="s">
        <v>53</v>
      </c>
      <c r="H37" s="33">
        <v>-7</v>
      </c>
      <c r="I37" s="33">
        <v>-2</v>
      </c>
    </row>
    <row r="38" spans="1:9" ht="15" customHeight="1" x14ac:dyDescent="0.15">
      <c r="A38" s="12" t="s">
        <v>54</v>
      </c>
      <c r="B38">
        <v>835</v>
      </c>
      <c r="C38">
        <v>808</v>
      </c>
      <c r="G38" s="23" t="s">
        <v>55</v>
      </c>
      <c r="H38" s="24">
        <v>-11</v>
      </c>
      <c r="I38" s="24">
        <v>1</v>
      </c>
    </row>
    <row r="39" spans="1:9" ht="15" customHeight="1" x14ac:dyDescent="0.15">
      <c r="A39" s="11" t="s">
        <v>56</v>
      </c>
      <c r="B39" s="33">
        <v>-139</v>
      </c>
      <c r="C39" s="33">
        <v>-91</v>
      </c>
      <c r="G39" s="23" t="s">
        <v>57</v>
      </c>
      <c r="H39" s="24">
        <v>10</v>
      </c>
      <c r="I39" s="24">
        <v>0</v>
      </c>
    </row>
    <row r="40" spans="1:9" ht="15" customHeight="1" x14ac:dyDescent="0.15">
      <c r="A40" s="12" t="s">
        <v>58</v>
      </c>
      <c r="B40">
        <v>696</v>
      </c>
      <c r="C40">
        <v>717</v>
      </c>
      <c r="G40" t="s">
        <v>59</v>
      </c>
      <c r="H40">
        <v>-315</v>
      </c>
      <c r="I40">
        <v>-17</v>
      </c>
    </row>
    <row r="41" spans="1:9" ht="15" customHeight="1" x14ac:dyDescent="0.15">
      <c r="G41" t="s">
        <v>60</v>
      </c>
      <c r="H41">
        <v>-11</v>
      </c>
      <c r="I41">
        <v>238</v>
      </c>
    </row>
    <row r="42" spans="1:9" ht="15" customHeight="1" outlineLevel="1" x14ac:dyDescent="0.15">
      <c r="G42" s="30" t="s">
        <v>61</v>
      </c>
      <c r="H42" s="15">
        <f>H41+H40+H38+H37+H36+H35+H34+H33+H32+H31+H30+H39</f>
        <v>-139</v>
      </c>
      <c r="I42" s="15">
        <f>I41+I40+I38+I37+I36+I35+I34+I33+I32+I31+I30+I39</f>
        <v>279</v>
      </c>
    </row>
    <row r="43" spans="1:9" ht="15" customHeight="1" outlineLevel="2" x14ac:dyDescent="0.15">
      <c r="G43" s="30" t="s">
        <v>62</v>
      </c>
      <c r="H43" s="15">
        <f>H42+H29</f>
        <v>1246</v>
      </c>
      <c r="I43" s="15">
        <f>I42+I29</f>
        <v>1391</v>
      </c>
    </row>
    <row r="44" spans="1:9" ht="15" customHeight="1" outlineLevel="2" x14ac:dyDescent="0.15">
      <c r="G44" t="s">
        <v>63</v>
      </c>
      <c r="H44">
        <f>B35-H38-H39</f>
        <v>-395</v>
      </c>
      <c r="I44">
        <f>C35-I38-I39</f>
        <v>-329</v>
      </c>
    </row>
    <row r="45" spans="1:9" ht="15" customHeight="1" outlineLevel="2" x14ac:dyDescent="0.15">
      <c r="G45" t="s">
        <v>64</v>
      </c>
      <c r="H45">
        <v>-27</v>
      </c>
      <c r="I45">
        <v>-14</v>
      </c>
    </row>
    <row r="46" spans="1:9" ht="15" customHeight="1" outlineLevel="2" x14ac:dyDescent="0.15">
      <c r="G46" t="s">
        <v>65</v>
      </c>
      <c r="H46">
        <v>-38</v>
      </c>
      <c r="I46">
        <v>-47</v>
      </c>
    </row>
    <row r="47" spans="1:9" ht="15" customHeight="1" outlineLevel="2" x14ac:dyDescent="0.15">
      <c r="G47" s="15" t="s">
        <v>48</v>
      </c>
      <c r="H47" s="15">
        <f>H46+H45+H44</f>
        <v>-460</v>
      </c>
      <c r="I47" s="15">
        <f>I46+I45+I44</f>
        <v>-390</v>
      </c>
    </row>
    <row r="48" spans="1:9" ht="15" customHeight="1" outlineLevel="2" x14ac:dyDescent="0.15">
      <c r="G48" t="s">
        <v>66</v>
      </c>
      <c r="H48">
        <v>0</v>
      </c>
      <c r="I48">
        <v>-2</v>
      </c>
    </row>
    <row r="49" spans="1:11" ht="15" customHeight="1" outlineLevel="1" x14ac:dyDescent="0.15">
      <c r="G49" s="30" t="s">
        <v>67</v>
      </c>
      <c r="H49" s="15">
        <f>H43+H47+H48</f>
        <v>786</v>
      </c>
      <c r="I49" s="15">
        <f>I47+I43+I48</f>
        <v>999</v>
      </c>
    </row>
    <row r="50" spans="1:11" ht="15" customHeight="1" outlineLevel="2" x14ac:dyDescent="0.15">
      <c r="G50" t="s">
        <v>68</v>
      </c>
      <c r="H50">
        <v>150</v>
      </c>
      <c r="I50">
        <v>98</v>
      </c>
    </row>
    <row r="51" spans="1:11" ht="15" customHeight="1" outlineLevel="2" x14ac:dyDescent="0.15">
      <c r="G51" t="s">
        <v>69</v>
      </c>
      <c r="H51">
        <v>636</v>
      </c>
      <c r="I51">
        <v>901</v>
      </c>
    </row>
    <row r="53" spans="1:11" ht="15" customHeight="1" outlineLevel="1" x14ac:dyDescent="0.15">
      <c r="B53" s="56"/>
      <c r="C53" s="56"/>
      <c r="D53" s="56"/>
      <c r="G53" s="81" t="s">
        <v>70</v>
      </c>
      <c r="H53" s="62"/>
      <c r="I53" s="62"/>
    </row>
    <row r="54" spans="1:11" ht="15" customHeight="1" outlineLevel="1" x14ac:dyDescent="0.15">
      <c r="A54" s="1" t="s">
        <v>71</v>
      </c>
      <c r="B54" s="1"/>
      <c r="C54" s="1"/>
      <c r="G54" s="63" t="s">
        <v>72</v>
      </c>
      <c r="H54" s="64">
        <f>IFERROR(H16/H12,0)</f>
        <v>0.40302218821729152</v>
      </c>
      <c r="I54" s="64">
        <f>IFERROR(I16/I12,0)</f>
        <v>0.43099273607748184</v>
      </c>
      <c r="J54" s="24"/>
    </row>
    <row r="55" spans="1:11" ht="15" customHeight="1" x14ac:dyDescent="0.15">
      <c r="A55" s="1" t="s">
        <v>4</v>
      </c>
      <c r="B55" s="1"/>
      <c r="C55" s="1"/>
      <c r="G55" s="62" t="s">
        <v>73</v>
      </c>
      <c r="H55" s="65">
        <f>IFERROR(H18/H12, 0)</f>
        <v>0.18171384850803365</v>
      </c>
      <c r="I55" s="65">
        <f>IFERROR(I18/I12, 0)</f>
        <v>0.19599847075315407</v>
      </c>
    </row>
    <row r="56" spans="1:11" ht="15" customHeight="1" outlineLevel="1" x14ac:dyDescent="0.15">
      <c r="A56" s="1"/>
      <c r="B56" s="1" t="s">
        <v>5</v>
      </c>
      <c r="C56" s="1" t="s">
        <v>6</v>
      </c>
      <c r="E56" s="12"/>
      <c r="F56" s="12"/>
      <c r="G56" s="63" t="s">
        <v>74</v>
      </c>
      <c r="H56" s="64">
        <f>IFERROR(H18/H16, 0)</f>
        <v>0.4508780256288562</v>
      </c>
      <c r="I56" s="64">
        <f>IFERROR(I18/I16, 0)</f>
        <v>0.4547604967474867</v>
      </c>
      <c r="J56" s="24"/>
      <c r="K56" s="12"/>
    </row>
    <row r="57" spans="1:11" ht="15" customHeight="1" x14ac:dyDescent="0.15">
      <c r="A57" s="1"/>
      <c r="B57" s="1"/>
      <c r="C57" s="1"/>
      <c r="G57" s="62" t="s">
        <v>75</v>
      </c>
      <c r="H57" s="65">
        <f>IFERROR(H18/H10, 0)</f>
        <v>0.19124308002013085</v>
      </c>
      <c r="I57" s="65">
        <f>IFERROR(I18/I10, 0)</f>
        <v>0.19935191186001297</v>
      </c>
    </row>
    <row r="58" spans="1:11" ht="15" customHeight="1" x14ac:dyDescent="0.15">
      <c r="A58" s="34" t="s">
        <v>54</v>
      </c>
      <c r="B58" s="35">
        <v>835</v>
      </c>
      <c r="C58" s="35">
        <v>808</v>
      </c>
    </row>
    <row r="59" spans="1:11" ht="15" customHeight="1" x14ac:dyDescent="0.15">
      <c r="A59" s="31" t="s">
        <v>76</v>
      </c>
      <c r="B59">
        <v>52</v>
      </c>
      <c r="C59">
        <v>165</v>
      </c>
      <c r="G59" s="24"/>
      <c r="H59" s="24"/>
      <c r="I59" s="24"/>
      <c r="J59" s="24"/>
    </row>
    <row r="60" spans="1:11" ht="15" customHeight="1" x14ac:dyDescent="0.15">
      <c r="A60" s="33" t="s">
        <v>77</v>
      </c>
      <c r="B60" s="33">
        <v>0</v>
      </c>
      <c r="C60" s="33">
        <v>-2</v>
      </c>
    </row>
    <row r="61" spans="1:11" ht="15" customHeight="1" x14ac:dyDescent="0.15">
      <c r="A61" s="15" t="s">
        <v>78</v>
      </c>
      <c r="B61" s="15">
        <v>52</v>
      </c>
      <c r="C61" s="15">
        <v>164</v>
      </c>
      <c r="G61" s="24"/>
      <c r="H61" s="24"/>
      <c r="I61" s="24"/>
      <c r="J61" s="24"/>
    </row>
    <row r="62" spans="1:11" ht="15" customHeight="1" x14ac:dyDescent="0.15">
      <c r="A62" s="33" t="s">
        <v>79</v>
      </c>
      <c r="B62" s="33">
        <v>31</v>
      </c>
      <c r="C62" s="33">
        <v>11</v>
      </c>
    </row>
    <row r="63" spans="1:11" ht="15" customHeight="1" x14ac:dyDescent="0.15">
      <c r="A63" t="s">
        <v>80</v>
      </c>
      <c r="B63">
        <v>-138</v>
      </c>
      <c r="C63">
        <v>12</v>
      </c>
      <c r="G63" s="24"/>
      <c r="H63" s="24"/>
      <c r="I63" s="24"/>
      <c r="J63" s="24"/>
    </row>
    <row r="64" spans="1:11" s="24" customFormat="1" ht="15" customHeight="1" x14ac:dyDescent="0.15">
      <c r="A64" s="33" t="s">
        <v>77</v>
      </c>
      <c r="B64" s="33">
        <v>6</v>
      </c>
      <c r="C64" s="33">
        <v>4</v>
      </c>
      <c r="D64"/>
      <c r="G64"/>
      <c r="H64"/>
      <c r="I64"/>
      <c r="J64"/>
    </row>
    <row r="65" spans="1:10" ht="15" customHeight="1" x14ac:dyDescent="0.15">
      <c r="A65" s="30" t="s">
        <v>81</v>
      </c>
      <c r="B65" s="15">
        <v>-101</v>
      </c>
      <c r="C65" s="15">
        <v>27</v>
      </c>
      <c r="G65" s="24"/>
      <c r="H65" s="24"/>
      <c r="I65" s="24"/>
      <c r="J65" s="24"/>
    </row>
    <row r="66" spans="1:10" s="24" customFormat="1" ht="15" customHeight="1" x14ac:dyDescent="0.15">
      <c r="A66" s="34" t="s">
        <v>82</v>
      </c>
      <c r="B66" s="35">
        <v>-49</v>
      </c>
      <c r="C66" s="35">
        <v>191</v>
      </c>
      <c r="D66"/>
      <c r="G66"/>
      <c r="H66"/>
      <c r="I66"/>
      <c r="J66"/>
    </row>
    <row r="67" spans="1:10" ht="15" customHeight="1" x14ac:dyDescent="0.15">
      <c r="A67" s="30" t="s">
        <v>83</v>
      </c>
      <c r="B67" s="15">
        <v>786</v>
      </c>
      <c r="C67" s="15">
        <v>999</v>
      </c>
    </row>
    <row r="68" spans="1:10" s="24" customFormat="1" ht="15" customHeight="1" x14ac:dyDescent="0.15">
      <c r="A68" s="33" t="s">
        <v>84</v>
      </c>
      <c r="B68" s="33"/>
      <c r="C68" s="33"/>
      <c r="D68"/>
      <c r="G68"/>
      <c r="H68"/>
      <c r="I68"/>
      <c r="J68"/>
    </row>
    <row r="69" spans="1:10" ht="15" customHeight="1" x14ac:dyDescent="0.15">
      <c r="A69" s="32" t="s">
        <v>85</v>
      </c>
      <c r="B69" s="32">
        <v>150</v>
      </c>
      <c r="C69" s="32">
        <v>98</v>
      </c>
    </row>
    <row r="70" spans="1:10" s="24" customFormat="1" ht="15" customHeight="1" x14ac:dyDescent="0.15">
      <c r="A70" s="36" t="s">
        <v>86</v>
      </c>
      <c r="B70" s="37">
        <v>636</v>
      </c>
      <c r="C70" s="37">
        <v>901</v>
      </c>
      <c r="D70"/>
      <c r="G70"/>
      <c r="H70"/>
      <c r="I70"/>
      <c r="J70"/>
    </row>
    <row r="72" spans="1:10" s="24" customFormat="1" ht="15" customHeight="1" x14ac:dyDescent="0.15">
      <c r="G72"/>
      <c r="H72"/>
      <c r="I72"/>
      <c r="J72"/>
    </row>
    <row r="74" spans="1:10" s="24" customFormat="1" ht="15" customHeight="1" x14ac:dyDescent="0.15">
      <c r="G74"/>
      <c r="H74"/>
      <c r="I74"/>
      <c r="J74"/>
    </row>
    <row r="76" spans="1:10" s="24" customFormat="1" ht="15" customHeight="1" x14ac:dyDescent="0.15">
      <c r="G76"/>
      <c r="H76"/>
      <c r="I76"/>
      <c r="J76"/>
    </row>
    <row r="78" spans="1:10" ht="15" customHeight="1" x14ac:dyDescent="0.15">
      <c r="A78" s="24"/>
      <c r="B78" s="24"/>
      <c r="C78" s="24"/>
      <c r="D78" s="24"/>
    </row>
    <row r="80" spans="1:10" ht="15" customHeight="1" x14ac:dyDescent="0.15">
      <c r="A80" s="24"/>
      <c r="B80" s="24"/>
      <c r="C80" s="24"/>
      <c r="D80" s="24"/>
    </row>
    <row r="82" spans="1:4" ht="15" customHeight="1" x14ac:dyDescent="0.15">
      <c r="A82" s="24"/>
      <c r="B82" s="24"/>
      <c r="C82" s="24"/>
      <c r="D82" s="2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DAD72-06D3-4D0F-922F-53917B2E50FA}">
  <sheetPr>
    <outlinePr summaryBelow="0" summaryRight="0"/>
  </sheetPr>
  <dimension ref="A1:K77"/>
  <sheetViews>
    <sheetView showGridLines="0" workbookViewId="0">
      <selection activeCell="L13" sqref="L13"/>
    </sheetView>
  </sheetViews>
  <sheetFormatPr baseColWidth="10" defaultColWidth="9.1640625" defaultRowHeight="15" customHeight="1" outlineLevelRow="3" x14ac:dyDescent="0.15"/>
  <cols>
    <col min="1" max="1" width="71.33203125" customWidth="1"/>
    <col min="2" max="4" width="10.5" customWidth="1"/>
    <col min="7" max="7" width="69" bestFit="1" customWidth="1"/>
    <col min="8" max="10" width="14.1640625" bestFit="1" customWidth="1"/>
  </cols>
  <sheetData>
    <row r="1" spans="1:11" ht="15" customHeight="1" x14ac:dyDescent="0.15">
      <c r="A1" s="15" t="s">
        <v>0</v>
      </c>
    </row>
    <row r="2" spans="1:11" ht="15" customHeight="1" x14ac:dyDescent="0.15">
      <c r="A2" s="17" t="s">
        <v>1</v>
      </c>
    </row>
    <row r="3" spans="1:11" ht="15" customHeight="1" x14ac:dyDescent="0.15">
      <c r="A3" s="16"/>
      <c r="B3" s="16"/>
      <c r="C3" s="16"/>
      <c r="D3" s="16"/>
    </row>
    <row r="5" spans="1:11" ht="15" customHeight="1" x14ac:dyDescent="0.15">
      <c r="A5" s="1" t="s">
        <v>87</v>
      </c>
      <c r="B5" s="1"/>
      <c r="C5" s="1"/>
      <c r="G5" s="1" t="s">
        <v>88</v>
      </c>
      <c r="H5" s="1"/>
      <c r="I5" s="1"/>
    </row>
    <row r="6" spans="1:11" ht="15" customHeight="1" x14ac:dyDescent="0.15">
      <c r="A6" s="1" t="s">
        <v>4</v>
      </c>
      <c r="B6" s="1"/>
      <c r="C6" s="1"/>
      <c r="G6" s="1" t="s">
        <v>4</v>
      </c>
      <c r="H6" s="1"/>
      <c r="I6" s="1"/>
    </row>
    <row r="7" spans="1:11" ht="15" customHeight="1" x14ac:dyDescent="0.15">
      <c r="A7" s="1"/>
      <c r="B7" s="1"/>
      <c r="C7" s="1"/>
      <c r="G7" s="1"/>
      <c r="H7" s="1"/>
      <c r="I7" s="1"/>
    </row>
    <row r="8" spans="1:11" ht="15" customHeight="1" x14ac:dyDescent="0.15">
      <c r="A8" s="1"/>
      <c r="B8" s="1" t="s">
        <v>5</v>
      </c>
      <c r="C8" s="1" t="s">
        <v>6</v>
      </c>
      <c r="G8" s="1"/>
      <c r="H8" s="1" t="s">
        <v>5</v>
      </c>
      <c r="I8" s="1" t="s">
        <v>6</v>
      </c>
    </row>
    <row r="9" spans="1:11" ht="15" customHeight="1" x14ac:dyDescent="0.15">
      <c r="A9" s="2" t="s">
        <v>89</v>
      </c>
      <c r="B9" s="55">
        <f>B10+B23</f>
        <v>16772</v>
      </c>
      <c r="C9">
        <v>14344</v>
      </c>
      <c r="G9" t="s">
        <v>90</v>
      </c>
      <c r="H9">
        <f>B24</f>
        <v>4721</v>
      </c>
      <c r="I9">
        <f t="shared" ref="I9" si="0">C24</f>
        <v>3989</v>
      </c>
    </row>
    <row r="10" spans="1:11" ht="15" customHeight="1" outlineLevel="1" x14ac:dyDescent="0.15">
      <c r="A10" s="4" t="s">
        <v>91</v>
      </c>
      <c r="B10">
        <v>5871</v>
      </c>
      <c r="C10">
        <v>6112</v>
      </c>
      <c r="G10" s="33" t="s">
        <v>92</v>
      </c>
      <c r="H10" s="33">
        <f>B27</f>
        <v>957</v>
      </c>
      <c r="I10" s="33">
        <f t="shared" ref="I10" si="1">C27</f>
        <v>692</v>
      </c>
    </row>
    <row r="11" spans="1:11" ht="15" customHeight="1" outlineLevel="2" x14ac:dyDescent="0.15">
      <c r="A11" s="5" t="s">
        <v>93</v>
      </c>
      <c r="B11" s="6">
        <v>2598</v>
      </c>
      <c r="C11" s="6">
        <v>2802</v>
      </c>
      <c r="G11" t="s">
        <v>94</v>
      </c>
      <c r="H11" s="48">
        <f>B28</f>
        <v>1907</v>
      </c>
      <c r="I11" s="48">
        <f>C28</f>
        <v>1959</v>
      </c>
      <c r="K11" s="6"/>
    </row>
    <row r="12" spans="1:11" ht="15" customHeight="1" outlineLevel="3" x14ac:dyDescent="0.15">
      <c r="A12" s="8" t="s">
        <v>95</v>
      </c>
      <c r="B12">
        <v>1354</v>
      </c>
      <c r="C12">
        <v>1426</v>
      </c>
      <c r="G12" t="s">
        <v>96</v>
      </c>
      <c r="H12" s="48">
        <v>198</v>
      </c>
      <c r="I12" s="48">
        <v>183</v>
      </c>
    </row>
    <row r="13" spans="1:11" ht="15" customHeight="1" outlineLevel="3" x14ac:dyDescent="0.15">
      <c r="A13" s="7" t="s">
        <v>97</v>
      </c>
      <c r="B13">
        <v>1244</v>
      </c>
      <c r="C13">
        <v>1376</v>
      </c>
      <c r="G13" t="s">
        <v>98</v>
      </c>
      <c r="H13" s="48">
        <v>137</v>
      </c>
      <c r="I13" s="48">
        <v>160</v>
      </c>
    </row>
    <row r="14" spans="1:11" ht="15" customHeight="1" outlineLevel="2" x14ac:dyDescent="0.15">
      <c r="A14" s="10" t="s">
        <v>99</v>
      </c>
      <c r="B14">
        <v>338</v>
      </c>
      <c r="C14">
        <v>334</v>
      </c>
      <c r="G14" t="s">
        <v>100</v>
      </c>
      <c r="H14" s="48">
        <v>80</v>
      </c>
      <c r="I14" s="48">
        <v>41</v>
      </c>
    </row>
    <row r="15" spans="1:11" ht="15" customHeight="1" outlineLevel="2" x14ac:dyDescent="0.15">
      <c r="A15" s="9" t="s">
        <v>101</v>
      </c>
      <c r="B15">
        <v>1962</v>
      </c>
      <c r="C15">
        <v>1853</v>
      </c>
      <c r="G15" s="38" t="s">
        <v>102</v>
      </c>
      <c r="H15" s="35">
        <f>SUM(H9:H14)</f>
        <v>8000</v>
      </c>
      <c r="I15" s="35">
        <f>SUM(I9:I14)</f>
        <v>7024</v>
      </c>
    </row>
    <row r="16" spans="1:11" ht="15" customHeight="1" outlineLevel="2" x14ac:dyDescent="0.15">
      <c r="A16" s="10" t="s">
        <v>103</v>
      </c>
      <c r="B16" s="11"/>
      <c r="C16" s="11"/>
      <c r="G16" s="82" t="s">
        <v>104</v>
      </c>
      <c r="H16">
        <f>B62</f>
        <v>5642</v>
      </c>
      <c r="I16">
        <f t="shared" ref="I16" si="2">C62</f>
        <v>3866</v>
      </c>
    </row>
    <row r="17" spans="1:9" ht="15" customHeight="1" outlineLevel="2" x14ac:dyDescent="0.15">
      <c r="A17" s="9" t="s">
        <v>105</v>
      </c>
      <c r="B17">
        <v>2</v>
      </c>
      <c r="C17">
        <v>20</v>
      </c>
      <c r="G17" s="83" t="s">
        <v>106</v>
      </c>
      <c r="H17" s="33">
        <f>B63</f>
        <v>1186</v>
      </c>
      <c r="I17" s="33">
        <f t="shared" ref="I17" si="3">C63</f>
        <v>1151</v>
      </c>
    </row>
    <row r="18" spans="1:9" ht="15" customHeight="1" outlineLevel="2" x14ac:dyDescent="0.15">
      <c r="A18" s="10" t="s">
        <v>107</v>
      </c>
      <c r="B18">
        <v>213</v>
      </c>
      <c r="C18">
        <v>346</v>
      </c>
      <c r="G18" s="82" t="s">
        <v>108</v>
      </c>
      <c r="H18">
        <f>B56</f>
        <v>891</v>
      </c>
      <c r="I18">
        <f t="shared" ref="I18" si="4">C56</f>
        <v>807</v>
      </c>
    </row>
    <row r="19" spans="1:9" ht="15" customHeight="1" outlineLevel="2" x14ac:dyDescent="0.15">
      <c r="A19" s="5" t="s">
        <v>109</v>
      </c>
      <c r="B19">
        <v>592</v>
      </c>
      <c r="C19">
        <v>585</v>
      </c>
      <c r="G19" s="33" t="s">
        <v>110</v>
      </c>
      <c r="H19" s="50">
        <v>-11</v>
      </c>
      <c r="I19" s="50">
        <v>252</v>
      </c>
    </row>
    <row r="20" spans="1:9" ht="15" customHeight="1" outlineLevel="3" x14ac:dyDescent="0.15">
      <c r="A20" s="8" t="s">
        <v>111</v>
      </c>
      <c r="B20" s="11"/>
      <c r="C20" s="11"/>
      <c r="G20" s="82" t="s">
        <v>112</v>
      </c>
      <c r="H20">
        <f>B47</f>
        <v>280</v>
      </c>
      <c r="I20">
        <f t="shared" ref="I20" si="5">C47</f>
        <v>285</v>
      </c>
    </row>
    <row r="21" spans="1:9" ht="15" customHeight="1" outlineLevel="3" x14ac:dyDescent="0.15">
      <c r="A21" s="7" t="s">
        <v>113</v>
      </c>
      <c r="B21" s="12"/>
      <c r="C21" s="12"/>
      <c r="G21" s="82" t="s">
        <v>114</v>
      </c>
      <c r="H21">
        <v>100</v>
      </c>
      <c r="I21">
        <v>144</v>
      </c>
    </row>
    <row r="22" spans="1:9" ht="15" customHeight="1" outlineLevel="2" x14ac:dyDescent="0.15">
      <c r="A22" s="10" t="s">
        <v>115</v>
      </c>
      <c r="B22">
        <v>165</v>
      </c>
      <c r="C22">
        <v>172</v>
      </c>
      <c r="G22" s="82" t="s">
        <v>116</v>
      </c>
      <c r="H22">
        <v>20</v>
      </c>
      <c r="I22">
        <v>22</v>
      </c>
    </row>
    <row r="23" spans="1:9" ht="15" customHeight="1" outlineLevel="1" x14ac:dyDescent="0.15">
      <c r="A23" s="3" t="s">
        <v>117</v>
      </c>
      <c r="B23">
        <v>10901</v>
      </c>
      <c r="C23">
        <v>8231</v>
      </c>
      <c r="G23" s="38" t="s">
        <v>118</v>
      </c>
      <c r="H23" s="35">
        <f>SUM(H16:H22)</f>
        <v>8108</v>
      </c>
      <c r="I23" s="35">
        <f>SUM(I16:I22)</f>
        <v>6527</v>
      </c>
    </row>
    <row r="24" spans="1:9" ht="15" customHeight="1" outlineLevel="2" x14ac:dyDescent="0.15">
      <c r="A24" s="13" t="s">
        <v>119</v>
      </c>
      <c r="B24">
        <v>4721</v>
      </c>
      <c r="C24">
        <v>3989</v>
      </c>
      <c r="G24" s="84" t="s">
        <v>120</v>
      </c>
      <c r="H24" s="15">
        <f>H15-H23</f>
        <v>-108</v>
      </c>
      <c r="I24" s="15">
        <f>I15-I23</f>
        <v>497</v>
      </c>
    </row>
    <row r="25" spans="1:9" ht="15" customHeight="1" outlineLevel="3" x14ac:dyDescent="0.15">
      <c r="A25" s="7" t="s">
        <v>121</v>
      </c>
      <c r="B25" s="12"/>
      <c r="C25" s="12"/>
      <c r="G25" s="83" t="s">
        <v>95</v>
      </c>
      <c r="H25" s="50">
        <f>B12</f>
        <v>1354</v>
      </c>
      <c r="I25" s="50">
        <f t="shared" ref="I25:I28" si="6">C12</f>
        <v>1426</v>
      </c>
    </row>
    <row r="26" spans="1:9" ht="15" customHeight="1" outlineLevel="3" x14ac:dyDescent="0.15">
      <c r="A26" s="8" t="s">
        <v>122</v>
      </c>
      <c r="B26" s="11"/>
      <c r="C26" s="11"/>
      <c r="G26" s="82" t="s">
        <v>97</v>
      </c>
      <c r="H26" s="49">
        <f>B13</f>
        <v>1244</v>
      </c>
      <c r="I26" s="49">
        <f t="shared" si="6"/>
        <v>1376</v>
      </c>
    </row>
    <row r="27" spans="1:9" ht="15" customHeight="1" outlineLevel="2" x14ac:dyDescent="0.15">
      <c r="A27" s="9" t="s">
        <v>92</v>
      </c>
      <c r="B27">
        <v>957</v>
      </c>
      <c r="C27">
        <v>692</v>
      </c>
      <c r="G27" s="83" t="s">
        <v>99</v>
      </c>
      <c r="H27" s="33">
        <f>B14</f>
        <v>338</v>
      </c>
      <c r="I27" s="33">
        <f t="shared" si="6"/>
        <v>334</v>
      </c>
    </row>
    <row r="28" spans="1:9" ht="15" customHeight="1" outlineLevel="2" x14ac:dyDescent="0.15">
      <c r="A28" s="10" t="s">
        <v>94</v>
      </c>
      <c r="B28">
        <v>1907</v>
      </c>
      <c r="C28">
        <v>1959</v>
      </c>
      <c r="G28" s="82" t="s">
        <v>101</v>
      </c>
      <c r="H28">
        <f>B15</f>
        <v>1962</v>
      </c>
      <c r="I28">
        <f t="shared" si="6"/>
        <v>1853</v>
      </c>
    </row>
    <row r="29" spans="1:9" ht="15" customHeight="1" outlineLevel="2" x14ac:dyDescent="0.15">
      <c r="A29" s="9" t="s">
        <v>123</v>
      </c>
      <c r="B29">
        <v>384</v>
      </c>
      <c r="C29">
        <v>350</v>
      </c>
      <c r="G29" s="83" t="s">
        <v>105</v>
      </c>
      <c r="H29" s="33">
        <f>B17</f>
        <v>2</v>
      </c>
      <c r="I29" s="33">
        <f t="shared" ref="I29" si="7">C17</f>
        <v>20</v>
      </c>
    </row>
    <row r="30" spans="1:9" ht="15" customHeight="1" outlineLevel="2" x14ac:dyDescent="0.15">
      <c r="A30" s="10" t="s">
        <v>124</v>
      </c>
      <c r="B30">
        <v>11</v>
      </c>
      <c r="C30">
        <v>57</v>
      </c>
      <c r="G30" s="84" t="s">
        <v>125</v>
      </c>
      <c r="H30" s="51">
        <f>H25+H26+H27+H28+H29</f>
        <v>4900</v>
      </c>
      <c r="I30" s="51">
        <f t="shared" ref="I30" si="8">I25+I26+I27+I28+I29</f>
        <v>5009</v>
      </c>
    </row>
    <row r="31" spans="1:9" ht="15" customHeight="1" outlineLevel="2" x14ac:dyDescent="0.15">
      <c r="A31" s="10"/>
      <c r="G31" s="84" t="s">
        <v>126</v>
      </c>
      <c r="H31" s="51">
        <f>H30+H15</f>
        <v>12900</v>
      </c>
      <c r="I31" s="51">
        <f>I30+I15</f>
        <v>12033</v>
      </c>
    </row>
    <row r="32" spans="1:9" ht="15" customHeight="1" outlineLevel="2" x14ac:dyDescent="0.15">
      <c r="A32" s="9" t="s">
        <v>127</v>
      </c>
      <c r="B32" s="12"/>
      <c r="C32" s="12"/>
      <c r="G32" s="38" t="s">
        <v>128</v>
      </c>
      <c r="H32" s="46">
        <f>H30+H24</f>
        <v>4792</v>
      </c>
      <c r="I32" s="46">
        <f t="shared" ref="I32" si="9">I30+I24</f>
        <v>5506</v>
      </c>
    </row>
    <row r="33" spans="1:9" ht="15" customHeight="1" outlineLevel="2" x14ac:dyDescent="0.15">
      <c r="A33" s="10" t="s">
        <v>129</v>
      </c>
      <c r="B33" s="11"/>
      <c r="C33" s="11"/>
      <c r="G33" s="82" t="s">
        <v>107</v>
      </c>
      <c r="H33">
        <f>B18</f>
        <v>213</v>
      </c>
      <c r="I33">
        <f t="shared" ref="I33" si="10">C18</f>
        <v>346</v>
      </c>
    </row>
    <row r="34" spans="1:9" ht="15" customHeight="1" outlineLevel="2" x14ac:dyDescent="0.15">
      <c r="A34" s="9" t="s">
        <v>130</v>
      </c>
      <c r="B34" s="12"/>
      <c r="C34" s="12"/>
      <c r="G34" s="83" t="s">
        <v>131</v>
      </c>
      <c r="H34" s="33">
        <f>B38-B68</f>
        <v>562</v>
      </c>
      <c r="I34" s="33">
        <f>C38-C68</f>
        <v>0</v>
      </c>
    </row>
    <row r="35" spans="1:9" ht="15" customHeight="1" outlineLevel="2" x14ac:dyDescent="0.15">
      <c r="A35" s="10" t="s">
        <v>132</v>
      </c>
      <c r="B35" s="11"/>
      <c r="C35" s="11"/>
      <c r="G35" s="83" t="s">
        <v>133</v>
      </c>
      <c r="H35" s="33">
        <v>45</v>
      </c>
      <c r="I35" s="33">
        <v>81</v>
      </c>
    </row>
    <row r="36" spans="1:9" ht="15" customHeight="1" outlineLevel="2" x14ac:dyDescent="0.15">
      <c r="A36" s="9" t="s">
        <v>134</v>
      </c>
      <c r="B36" s="12"/>
      <c r="C36" s="12"/>
      <c r="G36" s="84" t="s">
        <v>135</v>
      </c>
      <c r="H36" s="15">
        <f>SUM(H33:H35)</f>
        <v>820</v>
      </c>
      <c r="I36" s="15">
        <f>SUM(I33:I35)</f>
        <v>427</v>
      </c>
    </row>
    <row r="37" spans="1:9" ht="15" customHeight="1" outlineLevel="2" x14ac:dyDescent="0.15">
      <c r="A37" s="9" t="s">
        <v>136</v>
      </c>
      <c r="B37">
        <v>1650</v>
      </c>
      <c r="C37">
        <v>1184</v>
      </c>
      <c r="G37" s="84" t="s">
        <v>137</v>
      </c>
      <c r="H37" s="15">
        <f>H36+H31</f>
        <v>13720</v>
      </c>
      <c r="I37" s="15">
        <f>I36+I31</f>
        <v>12460</v>
      </c>
    </row>
    <row r="38" spans="1:9" ht="15" customHeight="1" outlineLevel="2" x14ac:dyDescent="0.15">
      <c r="A38" s="10" t="s">
        <v>138</v>
      </c>
      <c r="B38">
        <v>1270</v>
      </c>
      <c r="C38">
        <v>0</v>
      </c>
      <c r="G38" s="84" t="s">
        <v>139</v>
      </c>
      <c r="H38" s="51">
        <f>H32+H36</f>
        <v>5612</v>
      </c>
      <c r="I38" s="51">
        <f>I32+I36</f>
        <v>5933</v>
      </c>
    </row>
    <row r="39" spans="1:9" ht="15" customHeight="1" x14ac:dyDescent="0.15">
      <c r="A39" s="2" t="s">
        <v>140</v>
      </c>
      <c r="B39">
        <v>16772</v>
      </c>
      <c r="C39">
        <v>14344</v>
      </c>
      <c r="G39" s="33" t="s">
        <v>141</v>
      </c>
      <c r="H39" s="33">
        <v>1281</v>
      </c>
      <c r="I39" s="33">
        <v>2423</v>
      </c>
    </row>
    <row r="40" spans="1:9" ht="15" customHeight="1" outlineLevel="1" x14ac:dyDescent="0.15">
      <c r="A40" s="4" t="s">
        <v>142</v>
      </c>
      <c r="B40">
        <v>5614</v>
      </c>
      <c r="C40">
        <v>4465</v>
      </c>
      <c r="G40" t="s">
        <v>143</v>
      </c>
      <c r="H40">
        <v>23</v>
      </c>
      <c r="I40">
        <v>77</v>
      </c>
    </row>
    <row r="41" spans="1:9" ht="15" customHeight="1" outlineLevel="2" x14ac:dyDescent="0.15">
      <c r="A41" s="9" t="s">
        <v>144</v>
      </c>
      <c r="B41">
        <v>118</v>
      </c>
      <c r="C41">
        <v>112</v>
      </c>
      <c r="G41" s="33" t="s">
        <v>136</v>
      </c>
      <c r="H41" s="33">
        <f>-B37</f>
        <v>-1650</v>
      </c>
      <c r="I41" s="33">
        <f>-C37</f>
        <v>-1184</v>
      </c>
    </row>
    <row r="42" spans="1:9" ht="15" customHeight="1" outlineLevel="2" x14ac:dyDescent="0.15">
      <c r="A42" s="10" t="s">
        <v>145</v>
      </c>
      <c r="B42">
        <v>1394</v>
      </c>
      <c r="C42">
        <v>696</v>
      </c>
      <c r="G42" s="33" t="s">
        <v>146</v>
      </c>
      <c r="H42" s="33">
        <v>-41</v>
      </c>
      <c r="I42" s="33">
        <v>-81</v>
      </c>
    </row>
    <row r="43" spans="1:9" ht="15" customHeight="1" outlineLevel="2" x14ac:dyDescent="0.15">
      <c r="A43" s="5" t="s">
        <v>147</v>
      </c>
      <c r="B43">
        <v>3503</v>
      </c>
      <c r="C43">
        <v>3247</v>
      </c>
      <c r="G43" s="30" t="s">
        <v>148</v>
      </c>
      <c r="H43" s="15">
        <f>SUM(H39:H42)</f>
        <v>-387</v>
      </c>
      <c r="I43" s="15">
        <f>SUM(I39:I42)</f>
        <v>1235</v>
      </c>
    </row>
    <row r="44" spans="1:9" ht="15" customHeight="1" outlineLevel="3" x14ac:dyDescent="0.15">
      <c r="A44" s="8" t="s">
        <v>149</v>
      </c>
      <c r="B44" s="11"/>
      <c r="C44" s="11"/>
      <c r="G44" s="83" t="s">
        <v>150</v>
      </c>
      <c r="H44" s="50">
        <v>747</v>
      </c>
      <c r="I44" s="50">
        <v>576</v>
      </c>
    </row>
    <row r="45" spans="1:9" ht="15" customHeight="1" outlineLevel="1" x14ac:dyDescent="0.15">
      <c r="A45" s="3" t="s">
        <v>151</v>
      </c>
      <c r="B45">
        <v>2086</v>
      </c>
      <c r="C45">
        <v>3097</v>
      </c>
      <c r="G45" s="82" t="s">
        <v>152</v>
      </c>
      <c r="H45" s="49">
        <v>-362</v>
      </c>
      <c r="I45" s="49">
        <v>-343</v>
      </c>
    </row>
    <row r="46" spans="1:9" ht="15" customHeight="1" outlineLevel="2" x14ac:dyDescent="0.15">
      <c r="A46" s="10" t="s">
        <v>153</v>
      </c>
      <c r="B46">
        <v>278</v>
      </c>
      <c r="C46">
        <v>527</v>
      </c>
      <c r="G46" s="38" t="s">
        <v>154</v>
      </c>
      <c r="H46" s="35">
        <f>SUM(H44:H45)</f>
        <v>385</v>
      </c>
      <c r="I46" s="35">
        <f>SUM(I44:I45)</f>
        <v>233</v>
      </c>
    </row>
    <row r="47" spans="1:9" ht="15" customHeight="1" outlineLevel="2" x14ac:dyDescent="0.15">
      <c r="A47" s="9" t="s">
        <v>112</v>
      </c>
      <c r="B47">
        <v>280</v>
      </c>
      <c r="C47">
        <v>285</v>
      </c>
      <c r="G47" s="84" t="s">
        <v>142</v>
      </c>
      <c r="H47" s="15">
        <f>B40</f>
        <v>5614</v>
      </c>
      <c r="I47" s="15">
        <f t="shared" ref="I47" si="11">C40</f>
        <v>4465</v>
      </c>
    </row>
    <row r="48" spans="1:9" ht="15" customHeight="1" outlineLevel="2" x14ac:dyDescent="0.15">
      <c r="A48" s="10" t="s">
        <v>155</v>
      </c>
      <c r="B48" s="11"/>
      <c r="C48" s="11"/>
      <c r="G48" s="38" t="s">
        <v>156</v>
      </c>
      <c r="H48" s="46">
        <f>H43+H46+H47</f>
        <v>5612</v>
      </c>
      <c r="I48" s="46">
        <f>I43+I46+I47</f>
        <v>5933</v>
      </c>
    </row>
    <row r="49" spans="1:9" ht="15" customHeight="1" outlineLevel="2" x14ac:dyDescent="0.15">
      <c r="A49" s="9" t="s">
        <v>157</v>
      </c>
      <c r="B49" s="12"/>
      <c r="C49" s="12"/>
    </row>
    <row r="50" spans="1:9" ht="15" customHeight="1" outlineLevel="2" x14ac:dyDescent="0.15">
      <c r="A50" s="10" t="s">
        <v>158</v>
      </c>
      <c r="B50">
        <v>1155</v>
      </c>
      <c r="C50">
        <v>1871</v>
      </c>
    </row>
    <row r="51" spans="1:9" ht="15" customHeight="1" outlineLevel="2" x14ac:dyDescent="0.15">
      <c r="A51" s="5" t="s">
        <v>159</v>
      </c>
      <c r="B51">
        <v>10</v>
      </c>
      <c r="C51">
        <v>58</v>
      </c>
    </row>
    <row r="52" spans="1:9" ht="15" customHeight="1" outlineLevel="3" x14ac:dyDescent="0.15">
      <c r="A52" s="8" t="s">
        <v>160</v>
      </c>
      <c r="B52" s="11"/>
      <c r="C52" s="11"/>
      <c r="G52" s="30" t="s">
        <v>126</v>
      </c>
      <c r="H52">
        <f>H15+H30</f>
        <v>12900</v>
      </c>
      <c r="I52">
        <f>I15+I30</f>
        <v>12033</v>
      </c>
    </row>
    <row r="53" spans="1:9" ht="15" customHeight="1" outlineLevel="3" x14ac:dyDescent="0.15">
      <c r="A53" s="7" t="s">
        <v>161</v>
      </c>
      <c r="B53" s="12"/>
      <c r="C53" s="12"/>
      <c r="G53" t="s">
        <v>162</v>
      </c>
      <c r="H53">
        <f>B12+B13+B14+B15+B17+B18+B19+B22+B24+B27+B28+B29+B30+B37+B38</f>
        <v>16770</v>
      </c>
      <c r="I53">
        <f>C12+C13+C14+C15+C17+C18+C19+C22+C24+C27+C28+C29+C30+C37+C38</f>
        <v>14343</v>
      </c>
    </row>
    <row r="54" spans="1:9" ht="15" customHeight="1" outlineLevel="2" x14ac:dyDescent="0.15">
      <c r="A54" s="10" t="s">
        <v>115</v>
      </c>
      <c r="B54">
        <v>363</v>
      </c>
      <c r="C54">
        <v>356</v>
      </c>
    </row>
    <row r="55" spans="1:9" ht="15" customHeight="1" outlineLevel="1" x14ac:dyDescent="0.15">
      <c r="A55" s="3" t="s">
        <v>163</v>
      </c>
      <c r="B55">
        <v>9071</v>
      </c>
      <c r="C55">
        <v>6782</v>
      </c>
    </row>
    <row r="56" spans="1:9" ht="15" customHeight="1" outlineLevel="2" x14ac:dyDescent="0.15">
      <c r="A56" s="10" t="s">
        <v>108</v>
      </c>
      <c r="B56">
        <v>891</v>
      </c>
      <c r="C56">
        <v>807</v>
      </c>
    </row>
    <row r="57" spans="1:9" ht="15" customHeight="1" outlineLevel="2" x14ac:dyDescent="0.15">
      <c r="A57" s="9" t="s">
        <v>155</v>
      </c>
      <c r="B57" s="12"/>
      <c r="C57" s="12"/>
    </row>
    <row r="58" spans="1:9" ht="15" customHeight="1" outlineLevel="2" x14ac:dyDescent="0.15">
      <c r="A58" s="10" t="s">
        <v>157</v>
      </c>
      <c r="B58" s="11"/>
      <c r="C58" s="11"/>
    </row>
    <row r="59" spans="1:9" ht="15" customHeight="1" outlineLevel="2" x14ac:dyDescent="0.15">
      <c r="A59" s="9" t="s">
        <v>164</v>
      </c>
      <c r="B59" s="12"/>
      <c r="C59" s="12"/>
    </row>
    <row r="60" spans="1:9" ht="15" customHeight="1" outlineLevel="2" x14ac:dyDescent="0.15">
      <c r="A60" s="10" t="s">
        <v>165</v>
      </c>
      <c r="B60" s="11"/>
      <c r="C60" s="11"/>
    </row>
    <row r="61" spans="1:9" ht="15" customHeight="1" outlineLevel="2" x14ac:dyDescent="0.15">
      <c r="A61" s="9" t="s">
        <v>166</v>
      </c>
      <c r="B61">
        <v>126</v>
      </c>
      <c r="C61">
        <v>552</v>
      </c>
    </row>
    <row r="62" spans="1:9" ht="15" customHeight="1" outlineLevel="2" x14ac:dyDescent="0.15">
      <c r="A62" s="10" t="s">
        <v>104</v>
      </c>
      <c r="B62">
        <v>5642</v>
      </c>
      <c r="C62">
        <v>3866</v>
      </c>
    </row>
    <row r="63" spans="1:9" ht="15" customHeight="1" outlineLevel="2" x14ac:dyDescent="0.15">
      <c r="A63" s="9" t="s">
        <v>106</v>
      </c>
      <c r="B63">
        <v>1186</v>
      </c>
      <c r="C63">
        <v>1151</v>
      </c>
    </row>
    <row r="64" spans="1:9" ht="15" customHeight="1" outlineLevel="2" x14ac:dyDescent="0.15">
      <c r="A64" s="13" t="s">
        <v>167</v>
      </c>
      <c r="B64">
        <v>318</v>
      </c>
      <c r="C64">
        <v>288</v>
      </c>
    </row>
    <row r="65" spans="1:7" ht="15" customHeight="1" outlineLevel="3" x14ac:dyDescent="0.15">
      <c r="A65" s="7" t="s">
        <v>168</v>
      </c>
      <c r="B65" s="12"/>
      <c r="C65" s="12"/>
    </row>
    <row r="66" spans="1:7" ht="15" customHeight="1" outlineLevel="3" x14ac:dyDescent="0.15">
      <c r="A66" s="8" t="s">
        <v>169</v>
      </c>
      <c r="B66" s="11"/>
      <c r="C66" s="11"/>
    </row>
    <row r="67" spans="1:7" ht="15" customHeight="1" outlineLevel="2" x14ac:dyDescent="0.15">
      <c r="A67" s="9" t="s">
        <v>170</v>
      </c>
      <c r="B67">
        <v>200</v>
      </c>
      <c r="C67">
        <v>118</v>
      </c>
    </row>
    <row r="68" spans="1:7" ht="15" customHeight="1" outlineLevel="2" x14ac:dyDescent="0.15">
      <c r="A68" s="10" t="s">
        <v>171</v>
      </c>
      <c r="B68">
        <v>708</v>
      </c>
      <c r="C68">
        <v>0</v>
      </c>
    </row>
    <row r="69" spans="1:7" ht="15" customHeight="1" x14ac:dyDescent="0.15">
      <c r="A69" s="14" t="s">
        <v>172</v>
      </c>
    </row>
    <row r="77" spans="1:7" ht="15" customHeight="1" x14ac:dyDescent="0.15">
      <c r="G77" s="14"/>
    </row>
  </sheetData>
  <pageMargins left="0.75" right="0.75" top="1" bottom="1" header="0.5" footer="0.5"/>
  <extLst>
    <ext xmlns:x15="http://schemas.microsoft.com/office/spreadsheetml/2010/11/main" uri="{F7C9EE02-42E1-4005-9D12-6889AFFD525C}">
      <x15:webExtensions xmlns:xm="http://schemas.microsoft.com/office/excel/2006/main">
        <x15:webExtension appRef="{34928BE9-2BC1-4A2A-B735-A3DC9605CA53}">
          <xm:f>'Balance Sheet '!B9</xm:f>
        </x15:webExtension>
      </x15:webExtens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0F6D-ABF3-4D20-8A6A-C23A84672A24}">
  <dimension ref="A1:T64"/>
  <sheetViews>
    <sheetView showGridLines="0" topLeftCell="A38" workbookViewId="0">
      <selection activeCell="A64" sqref="A64"/>
    </sheetView>
  </sheetViews>
  <sheetFormatPr baseColWidth="10" defaultColWidth="8.83203125" defaultRowHeight="13" x14ac:dyDescent="0.15"/>
  <cols>
    <col min="1" max="1" width="39.1640625" bestFit="1" customWidth="1"/>
    <col min="6" max="6" width="35.33203125" bestFit="1" customWidth="1"/>
    <col min="10" max="10" width="52" bestFit="1" customWidth="1"/>
    <col min="11" max="12" width="10.5" bestFit="1" customWidth="1"/>
    <col min="13" max="13" width="13" bestFit="1" customWidth="1"/>
    <col min="17" max="17" width="66.1640625" bestFit="1" customWidth="1"/>
    <col min="18" max="19" width="10.6640625" bestFit="1" customWidth="1"/>
    <col min="20" max="20" width="12.1640625" bestFit="1" customWidth="1"/>
  </cols>
  <sheetData>
    <row r="1" spans="1:20" x14ac:dyDescent="0.15">
      <c r="J1" s="15" t="s">
        <v>173</v>
      </c>
      <c r="K1" s="15"/>
      <c r="L1" s="15"/>
      <c r="M1" s="15"/>
      <c r="Q1" s="15" t="s">
        <v>174</v>
      </c>
      <c r="R1" s="56" t="s">
        <v>5</v>
      </c>
      <c r="S1" s="56" t="s">
        <v>6</v>
      </c>
      <c r="T1" s="56"/>
    </row>
    <row r="2" spans="1:20" x14ac:dyDescent="0.15">
      <c r="A2" s="76" t="s">
        <v>175</v>
      </c>
      <c r="B2" s="58">
        <v>2025</v>
      </c>
      <c r="C2" s="58">
        <v>2024</v>
      </c>
      <c r="D2" s="15"/>
      <c r="J2" s="72"/>
      <c r="K2" s="15" t="s">
        <v>5</v>
      </c>
      <c r="L2" s="15" t="s">
        <v>6</v>
      </c>
      <c r="M2" s="15"/>
      <c r="Q2" t="s">
        <v>7</v>
      </c>
      <c r="R2">
        <v>9935</v>
      </c>
      <c r="S2">
        <v>7715</v>
      </c>
    </row>
    <row r="3" spans="1:20" x14ac:dyDescent="0.15">
      <c r="A3" s="57" t="s">
        <v>176</v>
      </c>
      <c r="B3" s="57">
        <f>'Income Statement'!B38</f>
        <v>835</v>
      </c>
      <c r="C3" s="57">
        <f>'Income Statement'!C38</f>
        <v>808</v>
      </c>
      <c r="J3" t="s">
        <v>90</v>
      </c>
      <c r="K3">
        <v>4721</v>
      </c>
      <c r="L3">
        <v>3989</v>
      </c>
      <c r="Q3" t="s">
        <v>8</v>
      </c>
      <c r="R3">
        <v>521</v>
      </c>
      <c r="S3">
        <v>132</v>
      </c>
    </row>
    <row r="4" spans="1:20" x14ac:dyDescent="0.15">
      <c r="A4" s="57" t="s">
        <v>177</v>
      </c>
      <c r="B4" s="57">
        <f>'Income Statement'!B34</f>
        <v>1572</v>
      </c>
      <c r="C4" s="57">
        <f>'Income Statement'!C34</f>
        <v>1168</v>
      </c>
      <c r="J4" t="s">
        <v>92</v>
      </c>
      <c r="K4">
        <v>957</v>
      </c>
      <c r="L4">
        <v>692</v>
      </c>
      <c r="Q4" t="s">
        <v>10</v>
      </c>
      <c r="R4">
        <v>10456</v>
      </c>
      <c r="S4">
        <v>7847</v>
      </c>
    </row>
    <row r="5" spans="1:20" x14ac:dyDescent="0.15">
      <c r="A5" s="58"/>
      <c r="B5" s="59">
        <f>B3/B4</f>
        <v>0.53117048346055984</v>
      </c>
      <c r="C5" s="59">
        <f>C3/C4</f>
        <v>0.69178082191780821</v>
      </c>
      <c r="J5" t="s">
        <v>94</v>
      </c>
      <c r="K5">
        <v>1907</v>
      </c>
      <c r="L5">
        <v>1959</v>
      </c>
      <c r="Q5" t="s">
        <v>12</v>
      </c>
      <c r="R5">
        <v>-5252</v>
      </c>
      <c r="S5">
        <v>-3693</v>
      </c>
    </row>
    <row r="6" spans="1:20" x14ac:dyDescent="0.15">
      <c r="A6" s="57"/>
      <c r="B6" s="57"/>
      <c r="C6" s="57"/>
      <c r="J6" t="s">
        <v>96</v>
      </c>
      <c r="K6">
        <v>198</v>
      </c>
      <c r="L6">
        <v>183</v>
      </c>
      <c r="Q6" t="s">
        <v>14</v>
      </c>
      <c r="R6">
        <v>-1100</v>
      </c>
      <c r="S6">
        <v>-870</v>
      </c>
    </row>
    <row r="7" spans="1:20" x14ac:dyDescent="0.15">
      <c r="A7" s="57" t="s">
        <v>177</v>
      </c>
      <c r="B7" s="57">
        <f>B4</f>
        <v>1572</v>
      </c>
      <c r="C7" s="57">
        <f>C4</f>
        <v>1168</v>
      </c>
      <c r="J7" t="s">
        <v>98</v>
      </c>
      <c r="K7">
        <v>137</v>
      </c>
      <c r="L7">
        <v>160</v>
      </c>
      <c r="Q7" t="s">
        <v>16</v>
      </c>
      <c r="R7">
        <v>110</v>
      </c>
      <c r="S7">
        <v>98</v>
      </c>
    </row>
    <row r="8" spans="1:20" x14ac:dyDescent="0.15">
      <c r="A8" s="57" t="s">
        <v>178</v>
      </c>
      <c r="B8" s="60">
        <f>'Income Statement'!B26</f>
        <v>1684</v>
      </c>
      <c r="C8" s="60">
        <f>'Income Statement'!C26</f>
        <v>1270</v>
      </c>
      <c r="J8" t="s">
        <v>100</v>
      </c>
      <c r="K8">
        <v>80</v>
      </c>
      <c r="L8">
        <v>41</v>
      </c>
      <c r="Q8" t="s">
        <v>18</v>
      </c>
      <c r="R8">
        <v>4214</v>
      </c>
      <c r="S8">
        <v>3382</v>
      </c>
    </row>
    <row r="9" spans="1:20" x14ac:dyDescent="0.15">
      <c r="A9" s="58"/>
      <c r="B9" s="59">
        <f>B7/B8</f>
        <v>0.9334916864608076</v>
      </c>
      <c r="C9" s="59">
        <f>C7/C8</f>
        <v>0.91968503937007873</v>
      </c>
      <c r="J9" t="s">
        <v>102</v>
      </c>
      <c r="K9">
        <v>8000</v>
      </c>
      <c r="L9">
        <v>7024</v>
      </c>
      <c r="Q9" t="s">
        <v>20</v>
      </c>
      <c r="R9">
        <v>-2314</v>
      </c>
      <c r="S9">
        <v>-1844</v>
      </c>
    </row>
    <row r="10" spans="1:20" x14ac:dyDescent="0.15">
      <c r="A10" s="57"/>
      <c r="B10" s="57"/>
      <c r="C10" s="57"/>
      <c r="J10" t="s">
        <v>104</v>
      </c>
      <c r="K10">
        <v>5642</v>
      </c>
      <c r="L10">
        <v>3866</v>
      </c>
      <c r="Q10" t="s">
        <v>21</v>
      </c>
      <c r="R10">
        <v>1900</v>
      </c>
      <c r="S10">
        <v>1538</v>
      </c>
    </row>
    <row r="11" spans="1:20" x14ac:dyDescent="0.15">
      <c r="A11" s="57" t="s">
        <v>178</v>
      </c>
      <c r="B11" s="60">
        <f>B8</f>
        <v>1684</v>
      </c>
      <c r="C11" s="60">
        <f>C8</f>
        <v>1270</v>
      </c>
      <c r="J11" t="s">
        <v>106</v>
      </c>
      <c r="K11">
        <v>1186</v>
      </c>
      <c r="L11">
        <v>1151</v>
      </c>
      <c r="Q11" t="s">
        <v>22</v>
      </c>
      <c r="R11">
        <v>-389</v>
      </c>
      <c r="S11">
        <v>-284</v>
      </c>
    </row>
    <row r="12" spans="1:20" x14ac:dyDescent="0.15">
      <c r="A12" s="57" t="s">
        <v>7</v>
      </c>
      <c r="B12" s="57">
        <f>'Income Statement'!H10</f>
        <v>9935</v>
      </c>
      <c r="C12" s="57">
        <f>'Income Statement'!I10</f>
        <v>7715</v>
      </c>
      <c r="J12" t="s">
        <v>108</v>
      </c>
      <c r="K12">
        <v>891</v>
      </c>
      <c r="L12">
        <v>807</v>
      </c>
      <c r="Q12" t="s">
        <v>23</v>
      </c>
      <c r="R12">
        <v>7</v>
      </c>
      <c r="S12">
        <v>2</v>
      </c>
    </row>
    <row r="13" spans="1:20" x14ac:dyDescent="0.15">
      <c r="A13" s="58"/>
      <c r="B13" s="57">
        <f>B11/B12</f>
        <v>0.16950176144942125</v>
      </c>
      <c r="C13" s="57">
        <f>C11/C12</f>
        <v>0.16461438755670771</v>
      </c>
      <c r="J13" t="s">
        <v>110</v>
      </c>
      <c r="K13">
        <v>-11</v>
      </c>
      <c r="L13">
        <v>252</v>
      </c>
      <c r="Q13" t="s">
        <v>24</v>
      </c>
      <c r="R13">
        <v>1518</v>
      </c>
      <c r="S13">
        <v>1256</v>
      </c>
    </row>
    <row r="14" spans="1:20" x14ac:dyDescent="0.15">
      <c r="A14" s="57" t="s">
        <v>7</v>
      </c>
      <c r="B14" s="57">
        <f>'Income Statement'!H10</f>
        <v>9935</v>
      </c>
      <c r="C14" s="57">
        <f>'Income Statement'!I10</f>
        <v>7715</v>
      </c>
      <c r="J14" t="s">
        <v>112</v>
      </c>
      <c r="K14">
        <v>280</v>
      </c>
      <c r="L14">
        <v>285</v>
      </c>
      <c r="Q14" t="s">
        <v>26</v>
      </c>
      <c r="R14">
        <v>1</v>
      </c>
      <c r="S14">
        <v>-33</v>
      </c>
    </row>
    <row r="15" spans="1:20" x14ac:dyDescent="0.15">
      <c r="A15" s="57" t="s">
        <v>162</v>
      </c>
      <c r="B15" s="57">
        <f>K47</f>
        <v>16770</v>
      </c>
      <c r="C15" s="57">
        <f>'Balance Sheet '!C9</f>
        <v>14344</v>
      </c>
      <c r="J15" t="s">
        <v>114</v>
      </c>
      <c r="K15">
        <v>100</v>
      </c>
      <c r="L15">
        <v>144</v>
      </c>
      <c r="Q15" t="s">
        <v>27</v>
      </c>
      <c r="R15">
        <v>-22</v>
      </c>
      <c r="S15">
        <v>-9</v>
      </c>
    </row>
    <row r="16" spans="1:20" x14ac:dyDescent="0.15">
      <c r="A16" s="58"/>
      <c r="B16" s="57">
        <f>B14/B15</f>
        <v>0.59242695289206915</v>
      </c>
      <c r="C16" s="57">
        <f>C14/C15</f>
        <v>0.53785554935861679</v>
      </c>
      <c r="J16" t="s">
        <v>116</v>
      </c>
      <c r="K16">
        <v>20</v>
      </c>
      <c r="L16">
        <v>22</v>
      </c>
      <c r="Q16" t="s">
        <v>29</v>
      </c>
      <c r="R16">
        <v>-21</v>
      </c>
      <c r="S16">
        <v>-42</v>
      </c>
    </row>
    <row r="17" spans="1:19" x14ac:dyDescent="0.15">
      <c r="A17" s="57" t="s">
        <v>162</v>
      </c>
      <c r="B17" s="57">
        <f>K47</f>
        <v>16770</v>
      </c>
      <c r="C17" s="57">
        <f>C15</f>
        <v>14344</v>
      </c>
      <c r="J17" t="s">
        <v>118</v>
      </c>
      <c r="K17">
        <v>8108</v>
      </c>
      <c r="L17">
        <v>6527</v>
      </c>
      <c r="Q17" t="s">
        <v>30</v>
      </c>
      <c r="R17">
        <v>1497</v>
      </c>
      <c r="S17">
        <v>1212</v>
      </c>
    </row>
    <row r="18" spans="1:19" x14ac:dyDescent="0.15">
      <c r="A18" s="57" t="s">
        <v>142</v>
      </c>
      <c r="B18" s="57">
        <f>K42</f>
        <v>5614</v>
      </c>
      <c r="C18" s="57">
        <f>L42</f>
        <v>4465</v>
      </c>
      <c r="J18" t="s">
        <v>120</v>
      </c>
      <c r="K18">
        <v>-108</v>
      </c>
      <c r="L18">
        <v>497</v>
      </c>
      <c r="Q18" t="s">
        <v>32</v>
      </c>
      <c r="R18">
        <v>4</v>
      </c>
      <c r="S18">
        <v>14</v>
      </c>
    </row>
    <row r="19" spans="1:19" x14ac:dyDescent="0.15">
      <c r="A19" s="57"/>
      <c r="B19" s="57">
        <f>B17/B18</f>
        <v>2.9871749198432491</v>
      </c>
      <c r="C19" s="57">
        <f>C17/C18</f>
        <v>3.212541993281075</v>
      </c>
      <c r="J19" t="s">
        <v>95</v>
      </c>
      <c r="K19">
        <v>1354</v>
      </c>
      <c r="L19">
        <v>1426</v>
      </c>
      <c r="Q19" t="s">
        <v>34</v>
      </c>
      <c r="R19">
        <v>-116</v>
      </c>
      <c r="S19">
        <v>-116</v>
      </c>
    </row>
    <row r="20" spans="1:19" x14ac:dyDescent="0.15">
      <c r="A20" s="57"/>
      <c r="B20" s="57"/>
      <c r="C20" s="57"/>
    </row>
    <row r="21" spans="1:19" x14ac:dyDescent="0.15">
      <c r="A21" s="80" t="s">
        <v>179</v>
      </c>
      <c r="B21" s="66">
        <f>B5*B9*B13*B16*B19</f>
        <v>0.14873530459565373</v>
      </c>
      <c r="C21" s="66">
        <f>C5*C9*C13*C16*C19</f>
        <v>0.18096304591265394</v>
      </c>
      <c r="J21" t="s">
        <v>97</v>
      </c>
      <c r="K21">
        <v>1244</v>
      </c>
      <c r="L21">
        <v>1376</v>
      </c>
      <c r="Q21" t="s">
        <v>36</v>
      </c>
      <c r="R21">
        <v>-112</v>
      </c>
      <c r="S21">
        <v>-102</v>
      </c>
    </row>
    <row r="22" spans="1:19" x14ac:dyDescent="0.15">
      <c r="A22" s="69"/>
      <c r="B22" s="70"/>
      <c r="C22" s="71"/>
      <c r="J22" t="s">
        <v>99</v>
      </c>
      <c r="K22">
        <v>338</v>
      </c>
      <c r="L22">
        <v>334</v>
      </c>
      <c r="Q22" t="s">
        <v>38</v>
      </c>
      <c r="R22">
        <v>1385</v>
      </c>
      <c r="S22">
        <v>1112</v>
      </c>
    </row>
    <row r="23" spans="1:19" x14ac:dyDescent="0.15">
      <c r="A23" s="79" t="s">
        <v>180</v>
      </c>
      <c r="B23" s="77"/>
      <c r="C23" s="78"/>
    </row>
    <row r="24" spans="1:19" x14ac:dyDescent="0.15">
      <c r="A24" s="67" t="s">
        <v>181</v>
      </c>
      <c r="B24" s="68">
        <f>'Income Statement'!H21</f>
        <v>1518</v>
      </c>
      <c r="C24" s="68">
        <f>'Income Statement'!I21</f>
        <v>1256</v>
      </c>
      <c r="J24" t="s">
        <v>101</v>
      </c>
      <c r="K24">
        <v>1962</v>
      </c>
      <c r="L24">
        <v>1853</v>
      </c>
      <c r="Q24" t="s">
        <v>40</v>
      </c>
      <c r="R24">
        <v>118</v>
      </c>
      <c r="S24">
        <v>21</v>
      </c>
    </row>
    <row r="25" spans="1:19" x14ac:dyDescent="0.15">
      <c r="A25" s="57" t="s">
        <v>182</v>
      </c>
      <c r="B25" s="57">
        <f>'Balance Sheet '!H15-'Balance Sheet '!H23+'Balance Sheet '!H30-'Balance Sheet '!H46</f>
        <v>4407</v>
      </c>
      <c r="C25" s="57">
        <f>'Balance Sheet '!I15-'Balance Sheet '!I23+'Balance Sheet '!I30-'Balance Sheet '!I46</f>
        <v>5273</v>
      </c>
      <c r="J25" t="s">
        <v>105</v>
      </c>
      <c r="K25">
        <v>2</v>
      </c>
      <c r="L25">
        <v>20</v>
      </c>
      <c r="Q25" t="s">
        <v>41</v>
      </c>
      <c r="R25">
        <v>44</v>
      </c>
      <c r="S25">
        <v>55</v>
      </c>
    </row>
    <row r="26" spans="1:19" x14ac:dyDescent="0.15">
      <c r="A26" s="57" t="s">
        <v>183</v>
      </c>
      <c r="B26" s="57">
        <f>B24/B25</f>
        <v>0.34445200816882232</v>
      </c>
      <c r="C26" s="57">
        <f>C24/C25</f>
        <v>0.2381945761426133</v>
      </c>
      <c r="J26" t="s">
        <v>125</v>
      </c>
      <c r="K26">
        <v>4900</v>
      </c>
      <c r="L26">
        <v>5009</v>
      </c>
      <c r="Q26" t="s">
        <v>43</v>
      </c>
      <c r="R26">
        <v>-8</v>
      </c>
      <c r="S26">
        <v>-19</v>
      </c>
    </row>
    <row r="27" spans="1:19" x14ac:dyDescent="0.15">
      <c r="A27" s="57"/>
      <c r="B27" s="57"/>
      <c r="C27" s="57"/>
      <c r="J27" t="s">
        <v>184</v>
      </c>
      <c r="K27">
        <v>4792</v>
      </c>
      <c r="L27">
        <v>5506</v>
      </c>
      <c r="Q27" t="s">
        <v>45</v>
      </c>
      <c r="R27">
        <v>-17</v>
      </c>
      <c r="S27">
        <v>2</v>
      </c>
    </row>
    <row r="28" spans="1:19" x14ac:dyDescent="0.15">
      <c r="A28" s="57" t="s">
        <v>185</v>
      </c>
      <c r="B28" s="61">
        <f>'Income Statement'!H24+'Income Statement'!H28</f>
        <v>-133</v>
      </c>
      <c r="C28" s="61">
        <f>-('Income Statement'!I24+'Income Statement'!I28)</f>
        <v>144</v>
      </c>
      <c r="J28" t="s">
        <v>107</v>
      </c>
      <c r="K28">
        <v>213</v>
      </c>
      <c r="L28">
        <v>346</v>
      </c>
      <c r="Q28" t="s">
        <v>47</v>
      </c>
      <c r="R28">
        <v>46</v>
      </c>
      <c r="S28">
        <v>0</v>
      </c>
    </row>
    <row r="29" spans="1:19" x14ac:dyDescent="0.15">
      <c r="A29" s="57" t="s">
        <v>186</v>
      </c>
      <c r="B29" s="57">
        <f>K57</f>
        <v>1207</v>
      </c>
      <c r="C29" s="57">
        <f>L57</f>
        <v>808</v>
      </c>
      <c r="J29" t="s">
        <v>131</v>
      </c>
      <c r="K29">
        <v>562</v>
      </c>
      <c r="L29">
        <v>0</v>
      </c>
      <c r="Q29" t="s">
        <v>49</v>
      </c>
      <c r="R29">
        <v>15</v>
      </c>
      <c r="S29">
        <v>0</v>
      </c>
    </row>
    <row r="30" spans="1:19" x14ac:dyDescent="0.15">
      <c r="A30" s="57" t="s">
        <v>187</v>
      </c>
      <c r="B30" s="57">
        <f>B28/B29</f>
        <v>-0.11019055509527755</v>
      </c>
      <c r="C30" s="57">
        <f>C28/C29</f>
        <v>0.17821782178217821</v>
      </c>
    </row>
    <row r="31" spans="1:19" x14ac:dyDescent="0.15">
      <c r="A31" s="57"/>
      <c r="B31" s="57"/>
      <c r="C31" s="57"/>
      <c r="J31" t="s">
        <v>188</v>
      </c>
      <c r="K31">
        <v>45</v>
      </c>
      <c r="L31">
        <v>81</v>
      </c>
      <c r="Q31" t="s">
        <v>51</v>
      </c>
      <c r="R31">
        <v>-3</v>
      </c>
      <c r="S31">
        <v>0</v>
      </c>
    </row>
    <row r="32" spans="1:19" x14ac:dyDescent="0.15">
      <c r="A32" s="57" t="s">
        <v>186</v>
      </c>
      <c r="B32" s="57">
        <f>K57</f>
        <v>1207</v>
      </c>
      <c r="C32" s="57">
        <f>L57</f>
        <v>808</v>
      </c>
      <c r="J32" t="s">
        <v>135</v>
      </c>
      <c r="K32">
        <v>820</v>
      </c>
      <c r="L32">
        <v>427</v>
      </c>
      <c r="Q32" t="s">
        <v>53</v>
      </c>
      <c r="R32">
        <v>-7</v>
      </c>
      <c r="S32">
        <v>-2</v>
      </c>
    </row>
    <row r="33" spans="1:19" x14ac:dyDescent="0.15">
      <c r="A33" s="57" t="s">
        <v>189</v>
      </c>
      <c r="B33" s="57">
        <f>K42</f>
        <v>5614</v>
      </c>
      <c r="C33" s="57">
        <f>L42</f>
        <v>4465</v>
      </c>
      <c r="J33" t="s">
        <v>139</v>
      </c>
      <c r="K33">
        <v>5612</v>
      </c>
      <c r="L33">
        <v>5933</v>
      </c>
      <c r="Q33" t="s">
        <v>55</v>
      </c>
      <c r="R33">
        <v>-11</v>
      </c>
      <c r="S33">
        <v>-1</v>
      </c>
    </row>
    <row r="34" spans="1:19" x14ac:dyDescent="0.15">
      <c r="A34" s="57" t="s">
        <v>190</v>
      </c>
      <c r="B34" s="57">
        <f>B32/B33</f>
        <v>0.21499821873886713</v>
      </c>
      <c r="C34" s="57">
        <f>C32/C33</f>
        <v>0.18096304591265397</v>
      </c>
      <c r="J34" t="s">
        <v>141</v>
      </c>
      <c r="K34">
        <v>1281</v>
      </c>
      <c r="L34">
        <v>2423</v>
      </c>
      <c r="Q34" t="s">
        <v>57</v>
      </c>
      <c r="R34">
        <v>10</v>
      </c>
      <c r="S34">
        <v>0</v>
      </c>
    </row>
    <row r="35" spans="1:19" x14ac:dyDescent="0.15">
      <c r="A35" s="57"/>
      <c r="B35" s="57"/>
      <c r="C35" s="57"/>
      <c r="J35" t="s">
        <v>143</v>
      </c>
      <c r="K35">
        <v>23</v>
      </c>
      <c r="L35">
        <v>77</v>
      </c>
      <c r="Q35" t="s">
        <v>59</v>
      </c>
      <c r="R35">
        <v>-315</v>
      </c>
      <c r="S35">
        <v>-17</v>
      </c>
    </row>
    <row r="36" spans="1:19" x14ac:dyDescent="0.15">
      <c r="A36" s="57" t="s">
        <v>191</v>
      </c>
      <c r="B36" s="57">
        <f>'Income Statement'!H49</f>
        <v>786</v>
      </c>
      <c r="C36" s="57">
        <f>'Income Statement'!I49</f>
        <v>999</v>
      </c>
      <c r="J36" t="s">
        <v>136</v>
      </c>
      <c r="K36">
        <v>-1650</v>
      </c>
      <c r="L36">
        <v>-1184</v>
      </c>
      <c r="Q36" t="s">
        <v>60</v>
      </c>
      <c r="R36">
        <v>-11</v>
      </c>
      <c r="S36">
        <v>238</v>
      </c>
    </row>
    <row r="37" spans="1:19" x14ac:dyDescent="0.15">
      <c r="A37" s="57" t="s">
        <v>192</v>
      </c>
      <c r="B37" s="57">
        <f>'Income Statement'!H29</f>
        <v>1385</v>
      </c>
      <c r="C37" s="57">
        <f>'Income Statement'!I29</f>
        <v>1112</v>
      </c>
      <c r="J37" t="s">
        <v>146</v>
      </c>
      <c r="K37">
        <v>-41</v>
      </c>
      <c r="L37">
        <v>-81</v>
      </c>
      <c r="Q37" t="s">
        <v>61</v>
      </c>
      <c r="R37">
        <v>-139</v>
      </c>
      <c r="S37">
        <v>279</v>
      </c>
    </row>
    <row r="38" spans="1:19" x14ac:dyDescent="0.15">
      <c r="A38" s="57" t="s">
        <v>193</v>
      </c>
      <c r="B38" s="57">
        <f>B36/B37</f>
        <v>0.56750902527075808</v>
      </c>
      <c r="C38" s="57">
        <f>C36/C37</f>
        <v>0.89838129496402874</v>
      </c>
      <c r="J38" t="s">
        <v>148</v>
      </c>
      <c r="K38">
        <v>-387</v>
      </c>
      <c r="L38">
        <v>1235</v>
      </c>
      <c r="Q38" t="s">
        <v>62</v>
      </c>
      <c r="R38">
        <v>1246</v>
      </c>
      <c r="S38">
        <v>1387</v>
      </c>
    </row>
    <row r="39" spans="1:19" x14ac:dyDescent="0.15">
      <c r="A39" s="58" t="s">
        <v>194</v>
      </c>
      <c r="B39" s="58">
        <f>(B26-(B26-B30)*B34)*B38</f>
        <v>0.14000712504453153</v>
      </c>
      <c r="C39" s="58">
        <f>(C26+(C26-C30)*C34)*C38</f>
        <v>0.22374020156774913</v>
      </c>
      <c r="J39" t="s">
        <v>150</v>
      </c>
      <c r="K39">
        <v>747</v>
      </c>
      <c r="L39">
        <v>576</v>
      </c>
      <c r="Q39" t="s">
        <v>63</v>
      </c>
      <c r="R39">
        <v>-396</v>
      </c>
      <c r="S39">
        <v>-328</v>
      </c>
    </row>
    <row r="40" spans="1:19" x14ac:dyDescent="0.15">
      <c r="A40" s="57"/>
      <c r="B40" s="57"/>
      <c r="C40" s="57"/>
      <c r="J40" t="s">
        <v>152</v>
      </c>
      <c r="K40">
        <v>-362</v>
      </c>
      <c r="L40">
        <v>-343</v>
      </c>
      <c r="Q40" t="s">
        <v>64</v>
      </c>
      <c r="R40">
        <v>-27</v>
      </c>
      <c r="S40">
        <v>-14</v>
      </c>
    </row>
    <row r="41" spans="1:19" x14ac:dyDescent="0.15">
      <c r="A41" s="58" t="s">
        <v>195</v>
      </c>
      <c r="B41" s="57"/>
      <c r="C41" s="57"/>
      <c r="J41" t="s">
        <v>154</v>
      </c>
      <c r="K41">
        <v>385</v>
      </c>
      <c r="L41">
        <v>233</v>
      </c>
      <c r="Q41" t="s">
        <v>65</v>
      </c>
      <c r="R41">
        <v>-38</v>
      </c>
      <c r="S41">
        <v>-47</v>
      </c>
    </row>
    <row r="42" spans="1:19" x14ac:dyDescent="0.15">
      <c r="A42" s="57"/>
      <c r="B42" s="57"/>
      <c r="C42" s="57"/>
      <c r="J42" t="s">
        <v>142</v>
      </c>
      <c r="K42">
        <v>5614</v>
      </c>
      <c r="L42">
        <v>4465</v>
      </c>
      <c r="Q42" t="s">
        <v>48</v>
      </c>
      <c r="R42">
        <v>-461</v>
      </c>
      <c r="S42">
        <v>-389</v>
      </c>
    </row>
    <row r="43" spans="1:19" x14ac:dyDescent="0.15">
      <c r="A43" s="57" t="s">
        <v>196</v>
      </c>
      <c r="B43" s="57">
        <f>R13*(1+K53)</f>
        <v>1136.5687022900763</v>
      </c>
      <c r="C43" s="57">
        <f>S13*(1+L53)</f>
        <v>902.21232876712327</v>
      </c>
      <c r="J43" t="s">
        <v>156</v>
      </c>
      <c r="K43">
        <v>5612</v>
      </c>
      <c r="L43">
        <v>5933</v>
      </c>
      <c r="Q43" t="s">
        <v>67</v>
      </c>
      <c r="R43">
        <v>786</v>
      </c>
      <c r="S43">
        <v>998</v>
      </c>
    </row>
    <row r="44" spans="1:19" x14ac:dyDescent="0.15">
      <c r="A44" s="57" t="s">
        <v>182</v>
      </c>
      <c r="B44" s="57"/>
      <c r="C44" s="57"/>
      <c r="Q44" t="s">
        <v>68</v>
      </c>
      <c r="R44">
        <v>150</v>
      </c>
      <c r="S44">
        <v>98</v>
      </c>
    </row>
    <row r="45" spans="1:19" x14ac:dyDescent="0.15">
      <c r="A45" s="57" t="s">
        <v>183</v>
      </c>
      <c r="B45" s="57">
        <f>K54/B25</f>
        <v>0.25790077201953171</v>
      </c>
      <c r="C45" s="57">
        <f>L54/C25</f>
        <v>0.17110038474627789</v>
      </c>
      <c r="Q45" t="s">
        <v>69</v>
      </c>
      <c r="R45">
        <v>636</v>
      </c>
      <c r="S45">
        <v>901</v>
      </c>
    </row>
    <row r="46" spans="1:19" x14ac:dyDescent="0.15">
      <c r="A46" s="57"/>
      <c r="B46" s="57"/>
      <c r="C46" s="57"/>
      <c r="J46" t="s">
        <v>197</v>
      </c>
      <c r="K46">
        <v>2025</v>
      </c>
      <c r="L46">
        <v>2024</v>
      </c>
    </row>
    <row r="47" spans="1:19" x14ac:dyDescent="0.15">
      <c r="A47" s="57" t="s">
        <v>198</v>
      </c>
      <c r="B47" s="57"/>
      <c r="C47" s="57"/>
      <c r="J47" t="s">
        <v>89</v>
      </c>
      <c r="K47">
        <f>'Balance Sheet '!H53</f>
        <v>16770</v>
      </c>
      <c r="L47">
        <f>'Balance Sheet '!I53</f>
        <v>14343</v>
      </c>
    </row>
    <row r="48" spans="1:19" x14ac:dyDescent="0.15">
      <c r="A48" s="57" t="s">
        <v>199</v>
      </c>
      <c r="B48" s="57"/>
      <c r="C48" s="57"/>
      <c r="J48" t="s">
        <v>200</v>
      </c>
      <c r="K48">
        <f>B3/K42</f>
        <v>0.14873530459565373</v>
      </c>
      <c r="L48">
        <f>C3/L42</f>
        <v>0.18096304591265397</v>
      </c>
    </row>
    <row r="49" spans="1:12" x14ac:dyDescent="0.15">
      <c r="A49" s="57" t="s">
        <v>187</v>
      </c>
      <c r="B49" s="57">
        <f>K56/K57</f>
        <v>-8.2502724775535413E-2</v>
      </c>
      <c r="C49" s="57">
        <f>L56/L57</f>
        <v>0.12801776753017768</v>
      </c>
      <c r="J49" t="s">
        <v>103</v>
      </c>
      <c r="K49">
        <f>-K36-K37+K31+K28+K29</f>
        <v>2511</v>
      </c>
      <c r="L49">
        <f>-L36-L37+L31+L28+L29</f>
        <v>1692</v>
      </c>
    </row>
    <row r="50" spans="1:12" x14ac:dyDescent="0.15">
      <c r="A50" s="57"/>
      <c r="B50" s="57"/>
      <c r="C50" s="57"/>
      <c r="J50" t="s">
        <v>201</v>
      </c>
      <c r="K50">
        <f>K34+K35</f>
        <v>1304</v>
      </c>
      <c r="L50">
        <f>L34+L35</f>
        <v>2500</v>
      </c>
    </row>
    <row r="51" spans="1:12" x14ac:dyDescent="0.15">
      <c r="A51" s="57" t="s">
        <v>199</v>
      </c>
      <c r="B51" s="57"/>
      <c r="C51" s="57"/>
      <c r="J51" t="s">
        <v>202</v>
      </c>
      <c r="K51">
        <f>K49-K50</f>
        <v>1207</v>
      </c>
      <c r="L51">
        <f>L49-L50</f>
        <v>-808</v>
      </c>
    </row>
    <row r="52" spans="1:12" x14ac:dyDescent="0.15">
      <c r="A52" s="57" t="s">
        <v>203</v>
      </c>
      <c r="B52" s="57"/>
      <c r="C52" s="57"/>
    </row>
    <row r="53" spans="1:12" x14ac:dyDescent="0.15">
      <c r="A53" s="57" t="s">
        <v>190</v>
      </c>
      <c r="B53" s="57">
        <f>K57/K42</f>
        <v>0.21499821873886713</v>
      </c>
      <c r="C53" s="57">
        <f>L57/L42</f>
        <v>0.18096304591265397</v>
      </c>
      <c r="J53" t="s">
        <v>204</v>
      </c>
      <c r="K53">
        <f>('Income Statement'!B35-'Income Statement'!H39-'Income Statement'!H38)/'Income Statement'!B34</f>
        <v>-0.25127226463104324</v>
      </c>
      <c r="L53">
        <f>('Income Statement'!C35-'Income Statement'!I39-'Income Statement'!I38)/'Income Statement'!C34</f>
        <v>-0.28167808219178081</v>
      </c>
    </row>
    <row r="54" spans="1:12" x14ac:dyDescent="0.15">
      <c r="A54" s="57"/>
      <c r="B54" s="57"/>
      <c r="C54" s="57"/>
      <c r="J54" t="s">
        <v>196</v>
      </c>
      <c r="K54">
        <f>R13*(1+K53)</f>
        <v>1136.5687022900763</v>
      </c>
      <c r="L54">
        <f>S13*(1+L53)</f>
        <v>902.21232876712327</v>
      </c>
    </row>
    <row r="55" spans="1:12" x14ac:dyDescent="0.15">
      <c r="A55" s="57" t="s">
        <v>205</v>
      </c>
      <c r="B55" s="57">
        <f>R43</f>
        <v>786</v>
      </c>
      <c r="C55" s="57">
        <f>S43</f>
        <v>998</v>
      </c>
      <c r="J55" t="s">
        <v>61</v>
      </c>
      <c r="K55">
        <f>R37*(1-K53) * (-1)</f>
        <v>173.92684478371501</v>
      </c>
      <c r="L55">
        <f>S37*(1-L53) * (-1)</f>
        <v>-357.58818493150687</v>
      </c>
    </row>
    <row r="56" spans="1:12" x14ac:dyDescent="0.15">
      <c r="A56" s="57" t="s">
        <v>206</v>
      </c>
      <c r="B56" s="57">
        <f>K58</f>
        <v>1036.987913486005</v>
      </c>
      <c r="C56" s="57">
        <f>L58</f>
        <v>798.77397260273972</v>
      </c>
      <c r="J56" t="s">
        <v>207</v>
      </c>
      <c r="K56">
        <f>B28*(1+K53)</f>
        <v>-99.580788804071247</v>
      </c>
      <c r="L56">
        <f>C28*(1+L53)</f>
        <v>103.43835616438356</v>
      </c>
    </row>
    <row r="57" spans="1:12" x14ac:dyDescent="0.15">
      <c r="A57" s="57" t="s">
        <v>193</v>
      </c>
      <c r="B57" s="57">
        <f>B55/B56</f>
        <v>0.75796447555278834</v>
      </c>
      <c r="C57" s="57">
        <f>C55/C56</f>
        <v>1.2494147709246191</v>
      </c>
      <c r="J57" t="s">
        <v>202</v>
      </c>
      <c r="K57">
        <f>-(K50-K49)</f>
        <v>1207</v>
      </c>
      <c r="L57">
        <f>(L50-L49)</f>
        <v>808</v>
      </c>
    </row>
    <row r="58" spans="1:12" x14ac:dyDescent="0.15">
      <c r="A58" s="57"/>
      <c r="B58" s="57"/>
      <c r="C58" s="57"/>
      <c r="J58" t="s">
        <v>208</v>
      </c>
      <c r="K58">
        <f>R22*(1+K53)</f>
        <v>1036.987913486005</v>
      </c>
      <c r="L58">
        <f>S22*(1+L53)</f>
        <v>798.77397260273972</v>
      </c>
    </row>
    <row r="59" spans="1:12" x14ac:dyDescent="0.15">
      <c r="A59" s="57"/>
      <c r="B59" s="57"/>
      <c r="C59" s="57"/>
    </row>
    <row r="60" spans="1:12" x14ac:dyDescent="0.15">
      <c r="A60" s="57"/>
      <c r="B60" s="57"/>
      <c r="C60" s="57"/>
      <c r="J60" t="s">
        <v>209</v>
      </c>
      <c r="K60">
        <f>R43/K58</f>
        <v>0.75796447555278834</v>
      </c>
      <c r="L60">
        <f>S43/L58</f>
        <v>1.2494147709246191</v>
      </c>
    </row>
    <row r="61" spans="1:12" x14ac:dyDescent="0.15">
      <c r="A61" s="57"/>
      <c r="B61" s="57"/>
      <c r="C61" s="57"/>
    </row>
    <row r="62" spans="1:12" x14ac:dyDescent="0.15">
      <c r="A62" s="58" t="s">
        <v>210</v>
      </c>
      <c r="B62" s="58">
        <f>(B45-(B45-B49)*B53)*B57</f>
        <v>0.14000712504453153</v>
      </c>
      <c r="C62" s="58">
        <f>(C45+(C45-C49)*C53)*C57</f>
        <v>0.22351623740201568</v>
      </c>
    </row>
    <row r="63" spans="1:12" x14ac:dyDescent="0.15">
      <c r="A63" s="57"/>
      <c r="B63" s="57"/>
      <c r="C63" s="57"/>
    </row>
    <row r="64" spans="1:12" x14ac:dyDescent="0.15">
      <c r="A64" s="57"/>
      <c r="B64" s="57"/>
      <c r="C64" s="5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E96E-3853-4D49-8C74-D4925DDB534B}">
  <dimension ref="A2:P43"/>
  <sheetViews>
    <sheetView showGridLines="0" topLeftCell="A21" workbookViewId="0">
      <selection activeCell="E36" sqref="E36"/>
    </sheetView>
  </sheetViews>
  <sheetFormatPr baseColWidth="10" defaultColWidth="8.83203125" defaultRowHeight="13" x14ac:dyDescent="0.15"/>
  <cols>
    <col min="1" max="1" width="32.83203125" bestFit="1" customWidth="1"/>
    <col min="7" max="7" width="52" bestFit="1" customWidth="1"/>
    <col min="8" max="9" width="10" bestFit="1" customWidth="1"/>
    <col min="14" max="14" width="66.1640625" bestFit="1" customWidth="1"/>
    <col min="15" max="16" width="10.6640625" bestFit="1" customWidth="1"/>
    <col min="17" max="17" width="12.1640625" bestFit="1" customWidth="1"/>
  </cols>
  <sheetData>
    <row r="2" spans="1:16" x14ac:dyDescent="0.15">
      <c r="A2" s="30" t="s">
        <v>211</v>
      </c>
      <c r="B2" s="15">
        <v>2025</v>
      </c>
      <c r="C2" s="15">
        <v>2024</v>
      </c>
      <c r="G2" s="15" t="s">
        <v>173</v>
      </c>
      <c r="N2" s="15" t="s">
        <v>212</v>
      </c>
      <c r="O2" s="1" t="s">
        <v>5</v>
      </c>
      <c r="P2" s="1" t="s">
        <v>6</v>
      </c>
    </row>
    <row r="3" spans="1:16" x14ac:dyDescent="0.15">
      <c r="A3" s="30" t="s">
        <v>213</v>
      </c>
      <c r="B3" s="27">
        <f>'Income Statement'!H21</f>
        <v>1518</v>
      </c>
      <c r="C3" s="27">
        <f>'Income Statement'!I21</f>
        <v>1256</v>
      </c>
      <c r="G3" s="54"/>
      <c r="H3" t="s">
        <v>5</v>
      </c>
      <c r="I3" t="s">
        <v>6</v>
      </c>
      <c r="N3" t="s">
        <v>7</v>
      </c>
      <c r="O3">
        <v>9935</v>
      </c>
      <c r="P3">
        <v>7715</v>
      </c>
    </row>
    <row r="4" spans="1:16" x14ac:dyDescent="0.15">
      <c r="A4" s="30" t="s">
        <v>214</v>
      </c>
      <c r="B4">
        <f>('Balance Sheet '!H30)+'Balance Sheet '!H15</f>
        <v>12900</v>
      </c>
      <c r="C4">
        <f>('Balance Sheet '!I30)+'Balance Sheet '!I15</f>
        <v>12033</v>
      </c>
      <c r="G4" t="s">
        <v>90</v>
      </c>
      <c r="H4">
        <v>4721</v>
      </c>
      <c r="I4">
        <v>3989</v>
      </c>
      <c r="N4" t="s">
        <v>8</v>
      </c>
      <c r="O4">
        <v>521</v>
      </c>
      <c r="P4">
        <v>132</v>
      </c>
    </row>
    <row r="5" spans="1:16" x14ac:dyDescent="0.15">
      <c r="A5" s="15" t="s">
        <v>215</v>
      </c>
      <c r="B5">
        <f>'Balance Sheet '!H15+'Balance Sheet '!H30+'Balance Sheet '!H36</f>
        <v>13720</v>
      </c>
      <c r="C5">
        <f>'Balance Sheet '!I15+'Balance Sheet '!I30+'Balance Sheet '!I36</f>
        <v>12460</v>
      </c>
      <c r="G5" t="s">
        <v>92</v>
      </c>
      <c r="H5">
        <v>957</v>
      </c>
      <c r="I5">
        <v>692</v>
      </c>
      <c r="N5" t="s">
        <v>10</v>
      </c>
      <c r="O5">
        <v>10456</v>
      </c>
      <c r="P5">
        <v>7847</v>
      </c>
    </row>
    <row r="6" spans="1:16" x14ac:dyDescent="0.15">
      <c r="A6" s="30" t="s">
        <v>216</v>
      </c>
      <c r="B6">
        <f>'Income Statement'!H24</f>
        <v>-21</v>
      </c>
      <c r="C6">
        <f>'Income Statement'!I24</f>
        <v>-42</v>
      </c>
      <c r="G6" t="s">
        <v>94</v>
      </c>
      <c r="H6">
        <v>1907</v>
      </c>
      <c r="I6">
        <v>1959</v>
      </c>
      <c r="N6" t="s">
        <v>12</v>
      </c>
      <c r="O6">
        <v>-5252</v>
      </c>
      <c r="P6">
        <v>-3693</v>
      </c>
    </row>
    <row r="7" spans="1:16" x14ac:dyDescent="0.15">
      <c r="A7" s="30" t="s">
        <v>217</v>
      </c>
      <c r="B7">
        <f>'Balance Sheet '!H36</f>
        <v>820</v>
      </c>
      <c r="C7">
        <f>'Balance Sheet '!I36</f>
        <v>427</v>
      </c>
      <c r="G7" t="s">
        <v>96</v>
      </c>
      <c r="H7">
        <v>198</v>
      </c>
      <c r="I7">
        <v>183</v>
      </c>
      <c r="N7" t="s">
        <v>14</v>
      </c>
      <c r="O7">
        <v>-1100</v>
      </c>
      <c r="P7">
        <v>-870</v>
      </c>
    </row>
    <row r="8" spans="1:16" x14ac:dyDescent="0.15">
      <c r="G8" t="s">
        <v>98</v>
      </c>
      <c r="H8">
        <v>137</v>
      </c>
      <c r="I8">
        <v>160</v>
      </c>
      <c r="N8" t="s">
        <v>16</v>
      </c>
      <c r="O8">
        <v>110</v>
      </c>
      <c r="P8">
        <v>98</v>
      </c>
    </row>
    <row r="9" spans="1:16" x14ac:dyDescent="0.15">
      <c r="A9" s="30" t="s">
        <v>218</v>
      </c>
      <c r="B9" s="73">
        <f>(B3/B4)*(B4/B5) + (B6/B7)*(B7/B5)</f>
        <v>0.10911078717201166</v>
      </c>
      <c r="C9" s="73">
        <f>(C3/C4)*(C4/C5) + (C6/C7)*(C7/C5)</f>
        <v>9.743178170144462E-2</v>
      </c>
      <c r="G9" t="s">
        <v>100</v>
      </c>
      <c r="H9">
        <v>80</v>
      </c>
      <c r="I9">
        <v>41</v>
      </c>
      <c r="N9" t="s">
        <v>18</v>
      </c>
      <c r="O9">
        <v>4214</v>
      </c>
      <c r="P9">
        <v>3382</v>
      </c>
    </row>
    <row r="10" spans="1:16" x14ac:dyDescent="0.15">
      <c r="A10" s="30"/>
      <c r="G10" t="s">
        <v>102</v>
      </c>
      <c r="H10">
        <v>8000</v>
      </c>
      <c r="I10">
        <v>7024</v>
      </c>
      <c r="N10" t="s">
        <v>20</v>
      </c>
      <c r="O10">
        <v>-2314</v>
      </c>
      <c r="P10">
        <v>-1844</v>
      </c>
    </row>
    <row r="11" spans="1:16" x14ac:dyDescent="0.15">
      <c r="A11" s="30" t="s">
        <v>219</v>
      </c>
      <c r="B11" s="15">
        <v>2025</v>
      </c>
      <c r="C11" s="15">
        <v>2024</v>
      </c>
      <c r="G11" t="s">
        <v>104</v>
      </c>
      <c r="H11">
        <v>5642</v>
      </c>
      <c r="I11">
        <v>3866</v>
      </c>
      <c r="N11" t="s">
        <v>21</v>
      </c>
      <c r="O11">
        <v>1900</v>
      </c>
      <c r="P11">
        <v>1538</v>
      </c>
    </row>
    <row r="12" spans="1:16" x14ac:dyDescent="0.15">
      <c r="A12" t="s">
        <v>213</v>
      </c>
      <c r="B12" s="27">
        <f>'Income Statement'!H21</f>
        <v>1518</v>
      </c>
      <c r="C12" s="27">
        <f>'Income Statement'!I21</f>
        <v>1256</v>
      </c>
      <c r="G12" t="s">
        <v>106</v>
      </c>
      <c r="H12">
        <v>1186</v>
      </c>
      <c r="I12">
        <v>1151</v>
      </c>
      <c r="N12" t="s">
        <v>22</v>
      </c>
      <c r="O12">
        <v>-389</v>
      </c>
      <c r="P12">
        <v>-284</v>
      </c>
    </row>
    <row r="13" spans="1:16" x14ac:dyDescent="0.15">
      <c r="A13" t="s">
        <v>220</v>
      </c>
      <c r="B13">
        <f>'Balance Sheet '!H32+'Balance Sheet '!H33+'Balance Sheet '!H34-'Balance Sheet '!H46</f>
        <v>5182</v>
      </c>
      <c r="C13">
        <f>'Balance Sheet '!I32</f>
        <v>5506</v>
      </c>
      <c r="G13" t="s">
        <v>108</v>
      </c>
      <c r="H13">
        <v>891</v>
      </c>
      <c r="I13">
        <v>807</v>
      </c>
      <c r="N13" t="s">
        <v>23</v>
      </c>
      <c r="O13">
        <v>7</v>
      </c>
      <c r="P13">
        <v>2</v>
      </c>
    </row>
    <row r="14" spans="1:16" x14ac:dyDescent="0.15">
      <c r="A14" t="s">
        <v>221</v>
      </c>
      <c r="B14">
        <f>'Balance Sheet '!H38</f>
        <v>5612</v>
      </c>
      <c r="C14">
        <f>'Balance Sheet '!I38</f>
        <v>5933</v>
      </c>
      <c r="G14" t="s">
        <v>110</v>
      </c>
      <c r="H14">
        <v>-11</v>
      </c>
      <c r="I14">
        <v>252</v>
      </c>
      <c r="N14" t="s">
        <v>24</v>
      </c>
      <c r="O14">
        <v>1518</v>
      </c>
      <c r="P14">
        <v>1254</v>
      </c>
    </row>
    <row r="15" spans="1:16" x14ac:dyDescent="0.15">
      <c r="A15" t="s">
        <v>216</v>
      </c>
      <c r="B15">
        <f>'Income Statement'!H24</f>
        <v>-21</v>
      </c>
      <c r="C15">
        <f>'Income Statement'!I24</f>
        <v>-42</v>
      </c>
      <c r="G15" t="s">
        <v>112</v>
      </c>
      <c r="H15">
        <v>280</v>
      </c>
      <c r="I15">
        <v>285</v>
      </c>
      <c r="N15" t="s">
        <v>26</v>
      </c>
      <c r="O15">
        <v>1</v>
      </c>
      <c r="P15">
        <v>-33</v>
      </c>
    </row>
    <row r="16" spans="1:16" x14ac:dyDescent="0.15">
      <c r="A16" t="s">
        <v>222</v>
      </c>
      <c r="B16">
        <f>'Balance Sheet '!H36</f>
        <v>820</v>
      </c>
      <c r="C16">
        <f>'Balance Sheet '!I36</f>
        <v>427</v>
      </c>
      <c r="G16" t="s">
        <v>114</v>
      </c>
      <c r="H16">
        <v>100</v>
      </c>
      <c r="I16">
        <v>144</v>
      </c>
      <c r="N16" t="s">
        <v>27</v>
      </c>
      <c r="O16">
        <v>-22</v>
      </c>
      <c r="P16">
        <v>-9</v>
      </c>
    </row>
    <row r="17" spans="1:16" x14ac:dyDescent="0.15">
      <c r="G17" t="s">
        <v>116</v>
      </c>
      <c r="H17">
        <v>20</v>
      </c>
      <c r="I17">
        <v>22</v>
      </c>
      <c r="N17" t="s">
        <v>29</v>
      </c>
      <c r="O17">
        <v>-21</v>
      </c>
      <c r="P17">
        <v>-42</v>
      </c>
    </row>
    <row r="18" spans="1:16" x14ac:dyDescent="0.15">
      <c r="A18" s="30" t="s">
        <v>223</v>
      </c>
      <c r="B18" s="73">
        <f>(B12/B13)*(B13/B14) + (B15/B16)*(B16/B14)</f>
        <v>0.26674982181040624</v>
      </c>
      <c r="C18" s="73">
        <f>(C12/C13)*(C13/C14) + (C15/C16)*(C16/C14)</f>
        <v>0.2046182369796056</v>
      </c>
      <c r="G18" t="s">
        <v>118</v>
      </c>
      <c r="H18">
        <v>8108</v>
      </c>
      <c r="I18">
        <v>6527</v>
      </c>
      <c r="N18" t="s">
        <v>30</v>
      </c>
      <c r="O18">
        <v>1497</v>
      </c>
      <c r="P18">
        <v>1212</v>
      </c>
    </row>
    <row r="19" spans="1:16" x14ac:dyDescent="0.15">
      <c r="B19" s="74"/>
      <c r="G19" t="s">
        <v>120</v>
      </c>
      <c r="H19">
        <v>-108</v>
      </c>
      <c r="I19">
        <v>497</v>
      </c>
      <c r="N19" t="s">
        <v>32</v>
      </c>
      <c r="O19">
        <v>4</v>
      </c>
      <c r="P19">
        <v>14</v>
      </c>
    </row>
    <row r="20" spans="1:16" x14ac:dyDescent="0.15">
      <c r="G20" t="s">
        <v>95</v>
      </c>
      <c r="H20">
        <v>1354</v>
      </c>
      <c r="I20">
        <v>1426</v>
      </c>
      <c r="N20" t="s">
        <v>34</v>
      </c>
      <c r="O20">
        <v>-116</v>
      </c>
      <c r="P20">
        <v>-116</v>
      </c>
    </row>
    <row r="21" spans="1:16" ht="15" x14ac:dyDescent="0.2">
      <c r="A21" s="75"/>
      <c r="G21" t="s">
        <v>97</v>
      </c>
      <c r="H21">
        <v>1244</v>
      </c>
      <c r="I21">
        <v>1376</v>
      </c>
      <c r="N21" t="s">
        <v>36</v>
      </c>
      <c r="O21">
        <v>-112</v>
      </c>
      <c r="P21">
        <v>-102</v>
      </c>
    </row>
    <row r="22" spans="1:16" x14ac:dyDescent="0.15">
      <c r="G22" t="s">
        <v>99</v>
      </c>
      <c r="H22">
        <v>338</v>
      </c>
      <c r="I22">
        <v>334</v>
      </c>
      <c r="N22" t="s">
        <v>38</v>
      </c>
      <c r="O22">
        <v>1385</v>
      </c>
      <c r="P22">
        <v>1110</v>
      </c>
    </row>
    <row r="23" spans="1:16" x14ac:dyDescent="0.15">
      <c r="G23" t="s">
        <v>101</v>
      </c>
      <c r="H23">
        <v>1962</v>
      </c>
      <c r="I23">
        <v>1853</v>
      </c>
      <c r="N23" t="s">
        <v>40</v>
      </c>
      <c r="O23">
        <v>118</v>
      </c>
      <c r="P23">
        <v>21</v>
      </c>
    </row>
    <row r="24" spans="1:16" x14ac:dyDescent="0.15">
      <c r="G24" t="s">
        <v>105</v>
      </c>
      <c r="H24">
        <v>2</v>
      </c>
      <c r="I24">
        <v>20</v>
      </c>
      <c r="N24" t="s">
        <v>41</v>
      </c>
      <c r="O24">
        <v>44</v>
      </c>
      <c r="P24">
        <v>55</v>
      </c>
    </row>
    <row r="25" spans="1:16" x14ac:dyDescent="0.15">
      <c r="G25" t="s">
        <v>125</v>
      </c>
      <c r="H25">
        <v>4900</v>
      </c>
      <c r="I25">
        <v>5009</v>
      </c>
      <c r="N25" t="s">
        <v>43</v>
      </c>
      <c r="O25">
        <v>-8</v>
      </c>
      <c r="P25">
        <v>-19</v>
      </c>
    </row>
    <row r="26" spans="1:16" x14ac:dyDescent="0.15">
      <c r="G26" s="15" t="s">
        <v>184</v>
      </c>
      <c r="H26">
        <v>4792</v>
      </c>
      <c r="I26">
        <v>5506</v>
      </c>
      <c r="N26" t="s">
        <v>45</v>
      </c>
      <c r="O26">
        <v>-17</v>
      </c>
      <c r="P26">
        <v>2</v>
      </c>
    </row>
    <row r="27" spans="1:16" x14ac:dyDescent="0.15">
      <c r="G27" t="s">
        <v>107</v>
      </c>
      <c r="H27">
        <v>213</v>
      </c>
      <c r="I27">
        <v>346</v>
      </c>
      <c r="N27" t="s">
        <v>47</v>
      </c>
      <c r="O27">
        <v>46</v>
      </c>
      <c r="P27">
        <v>0</v>
      </c>
    </row>
    <row r="28" spans="1:16" x14ac:dyDescent="0.15">
      <c r="G28" t="s">
        <v>131</v>
      </c>
      <c r="H28">
        <v>562</v>
      </c>
      <c r="I28">
        <v>0</v>
      </c>
      <c r="N28" t="s">
        <v>49</v>
      </c>
      <c r="O28">
        <v>15</v>
      </c>
      <c r="P28">
        <v>0</v>
      </c>
    </row>
    <row r="29" spans="1:16" x14ac:dyDescent="0.15">
      <c r="G29" t="s">
        <v>188</v>
      </c>
      <c r="H29">
        <v>45</v>
      </c>
      <c r="I29">
        <v>81</v>
      </c>
      <c r="N29" t="s">
        <v>51</v>
      </c>
      <c r="O29">
        <v>-3</v>
      </c>
      <c r="P29">
        <v>0</v>
      </c>
    </row>
    <row r="30" spans="1:16" x14ac:dyDescent="0.15">
      <c r="G30" t="s">
        <v>135</v>
      </c>
      <c r="H30">
        <v>820</v>
      </c>
      <c r="I30">
        <v>427</v>
      </c>
      <c r="N30" t="s">
        <v>53</v>
      </c>
      <c r="O30">
        <v>-7</v>
      </c>
      <c r="P30">
        <v>-2</v>
      </c>
    </row>
    <row r="31" spans="1:16" x14ac:dyDescent="0.15">
      <c r="G31" t="s">
        <v>139</v>
      </c>
      <c r="H31">
        <v>5612</v>
      </c>
      <c r="I31">
        <v>5933</v>
      </c>
      <c r="N31" t="s">
        <v>55</v>
      </c>
      <c r="O31">
        <v>-11</v>
      </c>
      <c r="P31">
        <v>-1</v>
      </c>
    </row>
    <row r="32" spans="1:16" x14ac:dyDescent="0.15">
      <c r="G32" t="s">
        <v>141</v>
      </c>
      <c r="H32">
        <v>1281</v>
      </c>
      <c r="I32">
        <v>2423</v>
      </c>
      <c r="N32" t="s">
        <v>57</v>
      </c>
      <c r="O32">
        <v>10</v>
      </c>
      <c r="P32">
        <v>0</v>
      </c>
    </row>
    <row r="33" spans="7:16" x14ac:dyDescent="0.15">
      <c r="G33" t="s">
        <v>143</v>
      </c>
      <c r="H33">
        <v>23</v>
      </c>
      <c r="I33">
        <v>77</v>
      </c>
      <c r="N33" t="s">
        <v>59</v>
      </c>
      <c r="O33">
        <v>-315</v>
      </c>
      <c r="P33">
        <v>-17</v>
      </c>
    </row>
    <row r="34" spans="7:16" x14ac:dyDescent="0.15">
      <c r="G34" t="s">
        <v>136</v>
      </c>
      <c r="H34">
        <v>-1650</v>
      </c>
      <c r="I34">
        <v>-1184</v>
      </c>
      <c r="N34" t="s">
        <v>60</v>
      </c>
      <c r="O34">
        <v>-11</v>
      </c>
      <c r="P34">
        <v>238</v>
      </c>
    </row>
    <row r="35" spans="7:16" x14ac:dyDescent="0.15">
      <c r="G35" t="s">
        <v>146</v>
      </c>
      <c r="H35">
        <v>-41</v>
      </c>
      <c r="I35">
        <v>-81</v>
      </c>
      <c r="N35" t="s">
        <v>61</v>
      </c>
      <c r="O35">
        <v>-139</v>
      </c>
      <c r="P35">
        <v>277</v>
      </c>
    </row>
    <row r="36" spans="7:16" x14ac:dyDescent="0.15">
      <c r="G36" t="s">
        <v>148</v>
      </c>
      <c r="H36">
        <v>-387</v>
      </c>
      <c r="I36">
        <v>1235</v>
      </c>
      <c r="N36" t="s">
        <v>62</v>
      </c>
      <c r="O36">
        <v>1246</v>
      </c>
      <c r="P36">
        <v>1387</v>
      </c>
    </row>
    <row r="37" spans="7:16" x14ac:dyDescent="0.15">
      <c r="G37" t="s">
        <v>150</v>
      </c>
      <c r="H37">
        <v>747</v>
      </c>
      <c r="I37">
        <v>576</v>
      </c>
      <c r="N37" t="s">
        <v>63</v>
      </c>
      <c r="O37">
        <v>-396</v>
      </c>
      <c r="P37">
        <v>-328</v>
      </c>
    </row>
    <row r="38" spans="7:16" x14ac:dyDescent="0.15">
      <c r="G38" t="s">
        <v>224</v>
      </c>
      <c r="H38">
        <v>-362</v>
      </c>
      <c r="I38">
        <v>-343</v>
      </c>
      <c r="N38" t="s">
        <v>64</v>
      </c>
      <c r="O38">
        <v>-27</v>
      </c>
      <c r="P38">
        <v>-14</v>
      </c>
    </row>
    <row r="39" spans="7:16" x14ac:dyDescent="0.15">
      <c r="G39" t="s">
        <v>154</v>
      </c>
      <c r="H39">
        <v>385</v>
      </c>
      <c r="I39">
        <v>233</v>
      </c>
      <c r="N39" t="s">
        <v>65</v>
      </c>
      <c r="O39">
        <v>-38</v>
      </c>
      <c r="P39">
        <v>-47</v>
      </c>
    </row>
    <row r="40" spans="7:16" x14ac:dyDescent="0.15">
      <c r="G40" t="s">
        <v>142</v>
      </c>
      <c r="H40">
        <v>5614</v>
      </c>
      <c r="I40">
        <v>4465</v>
      </c>
      <c r="N40" t="s">
        <v>48</v>
      </c>
      <c r="O40">
        <v>-461</v>
      </c>
      <c r="P40">
        <v>-389</v>
      </c>
    </row>
    <row r="41" spans="7:16" x14ac:dyDescent="0.15">
      <c r="G41" t="s">
        <v>156</v>
      </c>
      <c r="H41">
        <v>5612</v>
      </c>
      <c r="I41">
        <v>5933</v>
      </c>
      <c r="N41" t="s">
        <v>67</v>
      </c>
      <c r="O41">
        <v>785</v>
      </c>
      <c r="P41">
        <v>998</v>
      </c>
    </row>
    <row r="42" spans="7:16" x14ac:dyDescent="0.15">
      <c r="N42" t="s">
        <v>68</v>
      </c>
      <c r="O42">
        <v>150</v>
      </c>
      <c r="P42">
        <v>98</v>
      </c>
    </row>
    <row r="43" spans="7:16" x14ac:dyDescent="0.15">
      <c r="N43" t="s">
        <v>69</v>
      </c>
      <c r="O43">
        <v>636</v>
      </c>
      <c r="P43">
        <v>901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Income Statement</vt:lpstr>
      <vt:lpstr>Balance Sheet </vt:lpstr>
      <vt:lpstr>ROE + Decomposition</vt:lpstr>
      <vt:lpstr>ROI + Decomposition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FactSet Research Systems</dc:creator>
  <cp:keywords/>
  <dc:description/>
  <cp:lastModifiedBy>DOMINIK PAPP</cp:lastModifiedBy>
  <cp:revision/>
  <dcterms:created xsi:type="dcterms:W3CDTF">2026-09-21T17:07:18Z</dcterms:created>
  <dcterms:modified xsi:type="dcterms:W3CDTF">2026-09-27T21:39:19Z</dcterms:modified>
  <cp:category/>
  <cp:contentStatus/>
</cp:coreProperties>
</file>